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setojosesatoshi/Development/BusinessAutomationTools/Project001_CSVBusinessFormatter/docs/"/>
    </mc:Choice>
  </mc:AlternateContent>
  <xr:revisionPtr revIDLastSave="0" documentId="13_ncr:1_{5AD5186C-74F8-014F-B336-115C5000AB53}" xr6:coauthVersionLast="47" xr6:coauthVersionMax="47" xr10:uidLastSave="{00000000-0000-0000-0000-000000000000}"/>
  <bookViews>
    <workbookView xWindow="0" yWindow="600" windowWidth="38400" windowHeight="19440" firstSheet="1" activeTab="8" xr2:uid="{FE744E13-58AD-3746-BA7C-E3290E428FD0}"/>
  </bookViews>
  <sheets>
    <sheet name="プロパティ" sheetId="1" r:id="rId1"/>
    <sheet name="01_表紙" sheetId="2" r:id="rId2"/>
    <sheet name="02_改版履歴" sheetId="8" r:id="rId3"/>
    <sheet name="03_プロジェクト概要" sheetId="7" r:id="rId4"/>
    <sheet name="04_現場業務" sheetId="9" r:id="rId5"/>
    <sheet name="05_課題整理" sheetId="10" r:id="rId6"/>
    <sheet name="06_要求一覧" sheetId="11" r:id="rId7"/>
    <sheet name="07_機能一覧" sheetId="3" r:id="rId8"/>
    <sheet name="08_業務フロー" sheetId="12" r:id="rId9"/>
    <sheet name="09_画面設計" sheetId="13" r:id="rId10"/>
    <sheet name="10_入力設計" sheetId="14" r:id="rId11"/>
    <sheet name="11_出力設計" sheetId="15" r:id="rId12"/>
    <sheet name="12_データ設計" sheetId="5" r:id="rId13"/>
    <sheet name="13_非機能要件" sheetId="16" r:id="rId14"/>
    <sheet name="14_開発計画" sheetId="17" r:id="rId15"/>
    <sheet name="15_テスト方針" sheetId="18" r:id="rId16"/>
    <sheet name="16_今後の改善" sheetId="19" r:id="rId17"/>
  </sheets>
  <definedNames>
    <definedName name="Author">プロパティ!$E$6</definedName>
    <definedName name="ModNoRange">'02_改版履歴'!$A$5:$A$100</definedName>
    <definedName name="ProgramName">プロパティ!$E$4</definedName>
    <definedName name="ProjectCreateDate">プロパティ!$E$5</definedName>
    <definedName name="ProjectName">プロパティ!$E$2</definedName>
    <definedName name="SystemName">プロパティ!$E$3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X2" i="19" a="1"/>
  <c r="D2" i="19"/>
  <c r="D1" i="19"/>
  <c r="X2" i="18" a="1"/>
  <c r="D2" i="18"/>
  <c r="D1" i="18"/>
  <c r="X2" i="17" a="1"/>
  <c r="D2" i="17"/>
  <c r="D1" i="17"/>
  <c r="X2" i="16" a="1"/>
  <c r="D2" i="16"/>
  <c r="D1" i="16"/>
  <c r="X2" i="15" a="1"/>
  <c r="D2" i="15"/>
  <c r="D1" i="15"/>
  <c r="X2" i="14" a="1"/>
  <c r="D2" i="14"/>
  <c r="D1" i="14"/>
  <c r="X2" i="13" a="1"/>
  <c r="D2" i="13"/>
  <c r="D1" i="13"/>
  <c r="X2" i="12" a="1"/>
  <c r="D2" i="12"/>
  <c r="D1" i="12"/>
  <c r="X2" i="11" a="1"/>
  <c r="D2" i="11"/>
  <c r="D1" i="11"/>
  <c r="X2" i="10" a="1"/>
  <c r="D2" i="10"/>
  <c r="D1" i="10"/>
  <c r="X2" i="9" a="1"/>
  <c r="D2" i="9"/>
  <c r="D1" i="9"/>
  <c r="G16" i="2" a="1"/>
  <c r="X2" i="5" a="1"/>
  <c r="X2" i="3" a="1"/>
  <c r="X2" i="7" a="1"/>
  <c r="X2" i="8" a="1"/>
  <c r="G12" i="2"/>
  <c r="G14" i="2"/>
  <c r="E7" i="2"/>
  <c r="D2" i="5"/>
  <c r="D1" i="5"/>
  <c r="D2" i="3"/>
  <c r="D1" i="3"/>
  <c r="D2" i="7"/>
  <c r="D1" i="7"/>
  <c r="I5" i="8"/>
  <c r="D2" i="8"/>
  <c r="D1" i="8"/>
  <c r="J19" i="2"/>
  <c r="J18" i="2" l="1"/>
  <c r="F5" i="8"/>
  <c r="X1" i="18" l="1" a="1"/>
  <c r="X1" i="19" a="1"/>
  <c r="X1" i="3" a="1"/>
  <c r="X1" i="5" a="1"/>
  <c r="X1" i="9" a="1"/>
  <c r="X1" i="10" a="1"/>
  <c r="X1" i="8" a="1"/>
  <c r="X1" i="7" a="1"/>
  <c r="J20" i="2" a="1"/>
  <c r="X1" i="11" a="1"/>
  <c r="X1" i="12" a="1"/>
  <c r="X1" i="13" a="1"/>
  <c r="X1" i="14" a="1"/>
  <c r="X1" i="15" a="1"/>
  <c r="X1" i="16" a="1"/>
  <c r="X1" i="17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<sst xmlns="http://schemas.openxmlformats.org/spreadsheetml/2006/main" count="442" uniqueCount="253">
  <si>
    <t>作成日</t>
    <rPh sb="0" eb="3">
      <t>サクセイ</t>
    </rPh>
    <phoneticPr fontId="1"/>
  </si>
  <si>
    <t>作成者</t>
    <rPh sb="0" eb="1">
      <t>サクセイ</t>
    </rPh>
    <phoneticPr fontId="1"/>
  </si>
  <si>
    <t>承認者</t>
    <rPh sb="0" eb="3">
      <t>ショウ</t>
    </rPh>
    <phoneticPr fontId="1"/>
  </si>
  <si>
    <t>プロジェクト名</t>
    <phoneticPr fontId="1"/>
  </si>
  <si>
    <t>プロジェクト</t>
    <phoneticPr fontId="1"/>
  </si>
  <si>
    <t>システム名</t>
    <phoneticPr fontId="1"/>
  </si>
  <si>
    <t>プログラム名</t>
    <phoneticPr fontId="1"/>
  </si>
  <si>
    <t>改定日</t>
    <rPh sb="0" eb="2">
      <t>カイテ</t>
    </rPh>
    <rPh sb="2" eb="3">
      <t xml:space="preserve">ビ </t>
    </rPh>
    <phoneticPr fontId="1"/>
  </si>
  <si>
    <t>改定者</t>
    <rPh sb="0" eb="3">
      <t>カイテ</t>
    </rPh>
    <phoneticPr fontId="1"/>
  </si>
  <si>
    <t>項番</t>
    <rPh sb="0" eb="1">
      <t>コウモク</t>
    </rPh>
    <rPh sb="1" eb="2">
      <t>バンゴウ</t>
    </rPh>
    <phoneticPr fontId="1"/>
  </si>
  <si>
    <t>改訂者</t>
    <rPh sb="0" eb="3">
      <t>カイテ</t>
    </rPh>
    <phoneticPr fontId="1"/>
  </si>
  <si>
    <t>対象</t>
    <rPh sb="0" eb="2">
      <t>タイショウ</t>
    </rPh>
    <phoneticPr fontId="1"/>
  </si>
  <si>
    <t>改訂内容</t>
    <rPh sb="0" eb="4">
      <t>カイテ</t>
    </rPh>
    <phoneticPr fontId="1"/>
  </si>
  <si>
    <t>改訂理由</t>
    <rPh sb="0" eb="4">
      <t>カイテ</t>
    </rPh>
    <phoneticPr fontId="1"/>
  </si>
  <si>
    <t>ー</t>
    <phoneticPr fontId="1"/>
  </si>
  <si>
    <t>新規作成</t>
    <rPh sb="0" eb="4">
      <t>シンキ</t>
    </rPh>
    <phoneticPr fontId="1"/>
  </si>
  <si>
    <t>目的</t>
    <rPh sb="0" eb="2">
      <t>モクテキ</t>
    </rPh>
    <phoneticPr fontId="1"/>
  </si>
  <si>
    <t>・</t>
    <phoneticPr fontId="1"/>
  </si>
  <si>
    <t>対象ユーザー</t>
    <rPh sb="0" eb="2">
      <t>タイショウ</t>
    </rPh>
    <phoneticPr fontId="1"/>
  </si>
  <si>
    <t>機能名</t>
    <rPh sb="0" eb="3">
      <t>キノウ</t>
    </rPh>
    <phoneticPr fontId="1"/>
  </si>
  <si>
    <t>優先度</t>
    <rPh sb="0" eb="3">
      <t>ユウセンド</t>
    </rPh>
    <phoneticPr fontId="1"/>
  </si>
  <si>
    <t>備考</t>
    <rPh sb="0" eb="2">
      <t>ビコウ</t>
    </rPh>
    <phoneticPr fontId="1"/>
  </si>
  <si>
    <t>現行バージョン</t>
    <rPh sb="0" eb="2">
      <t>ゲンコウ</t>
    </rPh>
    <phoneticPr fontId="1"/>
  </si>
  <si>
    <t>バージョン</t>
    <phoneticPr fontId="1"/>
  </si>
  <si>
    <t>最終更新日</t>
    <rPh sb="0" eb="5">
      <t>サイシュウ</t>
    </rPh>
    <phoneticPr fontId="1"/>
  </si>
  <si>
    <t>【プログラム】</t>
    <phoneticPr fontId="1"/>
  </si>
  <si>
    <t>【承認者名】</t>
    <rPh sb="1" eb="5">
      <t>ショウニn</t>
    </rPh>
    <phoneticPr fontId="1"/>
  </si>
  <si>
    <t>背景</t>
    <rPh sb="0" eb="2">
      <t>ハイケイ</t>
    </rPh>
    <phoneticPr fontId="1"/>
  </si>
  <si>
    <t>期待効果</t>
    <rPh sb="0" eb="2">
      <t>キタイ</t>
    </rPh>
    <rPh sb="2" eb="4">
      <t xml:space="preserve">コウカ </t>
    </rPh>
    <phoneticPr fontId="1"/>
  </si>
  <si>
    <t>対象外</t>
    <rPh sb="0" eb="3">
      <t>タイショウ</t>
    </rPh>
    <phoneticPr fontId="1"/>
  </si>
  <si>
    <t>課題一覧</t>
    <phoneticPr fontId="1"/>
  </si>
  <si>
    <t>原因</t>
    <rPh sb="0" eb="2">
      <t>ゲンイn</t>
    </rPh>
    <phoneticPr fontId="1"/>
  </si>
  <si>
    <t>課題</t>
    <phoneticPr fontId="1"/>
  </si>
  <si>
    <t>要求</t>
    <rPh sb="0" eb="2">
      <t>ヨウキュウ</t>
    </rPh>
    <phoneticPr fontId="1"/>
  </si>
  <si>
    <t>説明</t>
    <rPh sb="0" eb="2">
      <t>セツメイ</t>
    </rPh>
    <phoneticPr fontId="1"/>
  </si>
  <si>
    <t>改善前業務フロー</t>
    <rPh sb="0" eb="3">
      <t>カイゼn</t>
    </rPh>
    <rPh sb="3" eb="5">
      <t>ギョウム</t>
    </rPh>
    <phoneticPr fontId="1"/>
  </si>
  <si>
    <t>改善後業務フロー</t>
    <rPh sb="0" eb="5">
      <t>カイゼn</t>
    </rPh>
    <phoneticPr fontId="1"/>
  </si>
  <si>
    <t>画面</t>
    <rPh sb="0" eb="2">
      <t>ガメn</t>
    </rPh>
    <phoneticPr fontId="1"/>
  </si>
  <si>
    <t>機能一覧</t>
    <rPh sb="0" eb="4">
      <t>キノウイ</t>
    </rPh>
    <phoneticPr fontId="1"/>
  </si>
  <si>
    <t>項目</t>
    <rPh sb="0" eb="2">
      <t>コウモク</t>
    </rPh>
    <phoneticPr fontId="1"/>
  </si>
  <si>
    <t>入力一覧</t>
    <rPh sb="0" eb="2">
      <t>ニュウリョク</t>
    </rPh>
    <rPh sb="2" eb="4">
      <t>イティ</t>
    </rPh>
    <phoneticPr fontId="1"/>
  </si>
  <si>
    <t>型</t>
    <rPh sb="0" eb="1">
      <t xml:space="preserve">カタ </t>
    </rPh>
    <phoneticPr fontId="1"/>
  </si>
  <si>
    <t>必須</t>
    <rPh sb="0" eb="2">
      <t>ヒッス</t>
    </rPh>
    <phoneticPr fontId="1"/>
  </si>
  <si>
    <t>出力一覧</t>
    <rPh sb="0" eb="4">
      <t>シュテゥ</t>
    </rPh>
    <phoneticPr fontId="1"/>
  </si>
  <si>
    <t>列名</t>
    <rPh sb="0" eb="2">
      <t>レテゥ</t>
    </rPh>
    <phoneticPr fontId="1"/>
  </si>
  <si>
    <t>言語：</t>
    <rPh sb="0" eb="2">
      <t>ゲンゴ</t>
    </rPh>
    <phoneticPr fontId="1"/>
  </si>
  <si>
    <t>端末：</t>
    <rPh sb="0" eb="2">
      <t>タンマテゥ</t>
    </rPh>
    <phoneticPr fontId="1"/>
  </si>
  <si>
    <t>制限：</t>
    <rPh sb="0" eb="2">
      <t>セイゲn</t>
    </rPh>
    <phoneticPr fontId="1"/>
  </si>
  <si>
    <t>実装</t>
    <rPh sb="0" eb="2">
      <t>ジッソウ</t>
    </rPh>
    <phoneticPr fontId="1"/>
  </si>
  <si>
    <t>リリース</t>
    <phoneticPr fontId="1"/>
  </si>
  <si>
    <t>正常系</t>
    <rPh sb="0" eb="3">
      <t>セイジョウ</t>
    </rPh>
    <phoneticPr fontId="1"/>
  </si>
  <si>
    <t>異常系</t>
    <rPh sb="0" eb="3">
      <t>イジョウ</t>
    </rPh>
    <phoneticPr fontId="1"/>
  </si>
  <si>
    <t>基本設計</t>
    <rPh sb="0" eb="4">
      <t>キホn</t>
    </rPh>
    <phoneticPr fontId="1"/>
  </si>
  <si>
    <t>詳細設計</t>
    <rPh sb="0" eb="4">
      <t>ショウサイ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</si>
  <si>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</si>
  <si>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</si>
  <si>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境界値</t>
    <rPh sb="0" eb="2">
      <t>⛪️</t>
    </rPh>
    <rPh sb="2" eb="3">
      <t xml:space="preserve">チ </t>
    </rPh>
    <phoneticPr fontId="1"/>
  </si>
  <si>
    <t>性能</t>
    <rPh sb="0" eb="2">
      <t>セイノ</t>
    </rPh>
    <phoneticPr fontId="1"/>
  </si>
  <si>
    <t>文字コード</t>
    <rPh sb="0" eb="2">
      <t>モジ</t>
    </rPh>
    <phoneticPr fontId="1"/>
  </si>
  <si>
    <t>対象データ</t>
    <rPh sb="0" eb="2">
      <t>タイショウ</t>
    </rPh>
    <phoneticPr fontId="1"/>
  </si>
  <si>
    <t>対応OS：</t>
    <rPh sb="0" eb="2">
      <t>タイオウ</t>
    </rPh>
    <phoneticPr fontId="1"/>
  </si>
  <si>
    <t>ライブラリ：</t>
    <phoneticPr fontId="1"/>
  </si>
  <si>
    <t>実行環境：</t>
    <rPh sb="0" eb="4">
      <t>ジッコウ</t>
    </rPh>
    <phoneticPr fontId="1"/>
  </si>
  <si>
    <t>文字コード：</t>
    <rPh sb="0" eb="2">
      <t>モジ</t>
    </rPh>
    <phoneticPr fontId="1"/>
  </si>
  <si>
    <t>最大ファイルサイズ：</t>
    <rPh sb="0" eb="2">
      <t>サイダイ</t>
    </rPh>
    <phoneticPr fontId="1"/>
  </si>
  <si>
    <t>理由</t>
    <rPh sb="0" eb="2">
      <t>リユウ</t>
    </rPh>
    <phoneticPr fontId="1"/>
  </si>
  <si>
    <t>改善点一覧</t>
    <rPh sb="0" eb="2">
      <t>カイゼn</t>
    </rPh>
    <rPh sb="2" eb="3">
      <t>テn</t>
    </rPh>
    <rPh sb="3" eb="5">
      <t>１ラn</t>
    </rPh>
    <phoneticPr fontId="1"/>
  </si>
  <si>
    <t>改善点</t>
    <rPh sb="0" eb="3">
      <t>カイゼn</t>
    </rPh>
    <phoneticPr fontId="1"/>
  </si>
  <si>
    <t>CSVBusinessFormatter</t>
    <phoneticPr fontId="1"/>
  </si>
  <si>
    <t>BusinessAutomationTools</t>
    <phoneticPr fontId="1"/>
  </si>
  <si>
    <t>Florian Seto Jose Satoshi</t>
    <phoneticPr fontId="1"/>
  </si>
  <si>
    <t>業務システムや各種サービスから出力されるCSVファイルは、利用目的に応じた加工が必要であり、担当者が毎回Excelで編集をこなっている。</t>
    <rPh sb="7" eb="9">
      <t>ギョウ</t>
    </rPh>
    <rPh sb="31" eb="33">
      <t>リヨウ</t>
    </rPh>
    <rPh sb="46" eb="49">
      <t>タントウ</t>
    </rPh>
    <phoneticPr fontId="1"/>
  </si>
  <si>
    <t>その結果、作業時間の増加や人的ミスが発生する要因となっている。</t>
    <rPh sb="13" eb="15">
      <t>サギョウ</t>
    </rPh>
    <rPh sb="22" eb="24">
      <t>ヨウイn</t>
    </rPh>
    <phoneticPr fontId="1"/>
  </si>
  <si>
    <t>製造業でCSVデータを扱う担当者</t>
    <rPh sb="0" eb="3">
      <t>セイゾウ</t>
    </rPh>
    <phoneticPr fontId="1"/>
  </si>
  <si>
    <t>一般事務担当者</t>
    <rPh sb="0" eb="7">
      <t>イッパn</t>
    </rPh>
    <phoneticPr fontId="1"/>
  </si>
  <si>
    <t>営業担当者</t>
    <rPh sb="0" eb="5">
      <t>エイギョウ</t>
    </rPh>
    <phoneticPr fontId="1"/>
  </si>
  <si>
    <t>経理担当者</t>
    <rPh sb="0" eb="5">
      <t>ケイリ</t>
    </rPh>
    <phoneticPr fontId="1"/>
  </si>
  <si>
    <t>Excelを用いてCSV加工を行う担当者</t>
    <rPh sb="12" eb="14">
      <t>カコウ</t>
    </rPh>
    <phoneticPr fontId="1"/>
  </si>
  <si>
    <t>日常的にCSVデータを扱う業務担当者</t>
    <rPh sb="0" eb="3">
      <t>ニティ</t>
    </rPh>
    <phoneticPr fontId="1"/>
  </si>
  <si>
    <t>CSV加工時間の短縮</t>
    <rPh sb="3" eb="7">
      <t>カコウ</t>
    </rPh>
    <phoneticPr fontId="1"/>
  </si>
  <si>
    <t>手作業による入力ミスの削減</t>
    <rPh sb="0" eb="3">
      <t>テサギョウ</t>
    </rPh>
    <phoneticPr fontId="1"/>
  </si>
  <si>
    <t>作業品質の標準化</t>
    <rPh sb="0" eb="4">
      <t>サギョウ</t>
    </rPh>
    <phoneticPr fontId="1"/>
  </si>
  <si>
    <t>定型業務の自動化</t>
    <rPh sb="0" eb="4">
      <t>テイケイ</t>
    </rPh>
    <rPh sb="5" eb="8">
      <t>ジドウ</t>
    </rPh>
    <phoneticPr fontId="1"/>
  </si>
  <si>
    <t>作業負荷の軽減</t>
    <rPh sb="0" eb="1">
      <t>サギョウ</t>
    </rPh>
    <phoneticPr fontId="1"/>
  </si>
  <si>
    <t>Excel加工の属人化防止</t>
    <rPh sb="5" eb="7">
      <t>カコウ</t>
    </rPh>
    <rPh sb="8" eb="13">
      <t>ゾクジンカ</t>
    </rPh>
    <phoneticPr fontId="1"/>
  </si>
  <si>
    <t>CSV以外のファイル形式（PDF、Word等）の加工</t>
    <rPh sb="3" eb="5">
      <t>イガイ</t>
    </rPh>
    <rPh sb="21" eb="22">
      <t xml:space="preserve">ナド </t>
    </rPh>
    <rPh sb="24" eb="26">
      <t>カコウ</t>
    </rPh>
    <phoneticPr fontId="1"/>
  </si>
  <si>
    <t>データベースとの連携</t>
    <phoneticPr fontId="1"/>
  </si>
  <si>
    <t>Webシステムとの連携</t>
    <phoneticPr fontId="1"/>
  </si>
  <si>
    <t>GUIによる高度な画面操作</t>
    <phoneticPr fontId="1"/>
  </si>
  <si>
    <t>複数CSVの同時加工</t>
    <rPh sb="0" eb="2">
      <t>フクスウ</t>
    </rPh>
    <phoneticPr fontId="1"/>
  </si>
  <si>
    <t>クラウド連携</t>
    <phoneticPr fontId="1"/>
  </si>
  <si>
    <t>AIによるデータ解析</t>
    <phoneticPr fontId="1"/>
  </si>
  <si>
    <t>高度な集計・分析</t>
    <rPh sb="0" eb="2">
      <t>コウドナ</t>
    </rPh>
    <rPh sb="6" eb="8">
      <t>ブンセキ</t>
    </rPh>
    <phoneticPr fontId="1"/>
  </si>
  <si>
    <t>ワークフロー（想定業務）</t>
    <rPh sb="7" eb="11">
      <t>ソウテイ</t>
    </rPh>
    <phoneticPr fontId="1"/>
  </si>
  <si>
    <t>CSV加工を自動化し、定型業務の効率化と人的ミスの削減を実現する</t>
    <rPh sb="3" eb="5">
      <t>カコウ</t>
    </rPh>
    <rPh sb="11" eb="15">
      <t>テイケイ</t>
    </rPh>
    <phoneticPr fontId="1"/>
  </si>
  <si>
    <t>本シートは、一般的な製造業・事務業務におけるCSV加工業務を想定した業務フローを示す。</t>
    <rPh sb="0" eb="1">
      <t>ホンシート</t>
    </rPh>
    <rPh sb="6" eb="9">
      <t>イッパn</t>
    </rPh>
    <rPh sb="14" eb="18">
      <t>ジムギョウ</t>
    </rPh>
    <phoneticPr fontId="1"/>
  </si>
  <si>
    <t>K001</t>
    <phoneticPr fontId="1"/>
  </si>
  <si>
    <t>K002</t>
    <phoneticPr fontId="1"/>
  </si>
  <si>
    <t>毎回Excelで列削除している</t>
    <rPh sb="0" eb="2">
      <t>マイカイ</t>
    </rPh>
    <rPh sb="8" eb="11">
      <t>デレテゥ</t>
    </rPh>
    <phoneticPr fontId="1"/>
  </si>
  <si>
    <t>列名を毎回変更している</t>
    <rPh sb="3" eb="7">
      <t>レテゥ</t>
    </rPh>
    <phoneticPr fontId="1"/>
  </si>
  <si>
    <t>列順を毎回変更している</t>
    <rPh sb="0" eb="1">
      <t>レテゥ</t>
    </rPh>
    <rPh sb="3" eb="7">
      <t>レテゥ</t>
    </rPh>
    <phoneticPr fontId="1"/>
  </si>
  <si>
    <t>加工漏れ・操作ミスが発生する</t>
    <rPh sb="0" eb="3">
      <t>カコウ</t>
    </rPh>
    <rPh sb="5" eb="7">
      <t>ソウサミ</t>
    </rPh>
    <phoneticPr fontId="1"/>
  </si>
  <si>
    <t>処理時間がかかる</t>
    <rPh sb="0" eb="4">
      <t>ショリ</t>
    </rPh>
    <phoneticPr fontId="1"/>
  </si>
  <si>
    <t>K003</t>
    <phoneticPr fontId="1"/>
  </si>
  <si>
    <t>K004</t>
    <phoneticPr fontId="1"/>
  </si>
  <si>
    <t>K005</t>
    <phoneticPr fontId="1"/>
  </si>
  <si>
    <t>CSV形式が業務に合っていない</t>
    <rPh sb="3" eb="5">
      <t>ケイシキ</t>
    </rPh>
    <phoneticPr fontId="1"/>
  </si>
  <si>
    <t>システム出力名がわかりにくい</t>
    <phoneticPr fontId="1"/>
  </si>
  <si>
    <t>帳票レイアウトと異なる</t>
    <rPh sb="0" eb="2">
      <t>チョウヒョウ</t>
    </rPh>
    <phoneticPr fontId="1"/>
  </si>
  <si>
    <t>手作業で実施している</t>
    <rPh sb="0" eb="3">
      <t>テサギョウ</t>
    </rPh>
    <phoneticPr fontId="1"/>
  </si>
  <si>
    <t>毎回同じ作業を繰り返している</t>
    <rPh sb="2" eb="3">
      <t>マイカイ</t>
    </rPh>
    <phoneticPr fontId="1"/>
  </si>
  <si>
    <t>高</t>
    <rPh sb="0" eb="1">
      <t>タカイ</t>
    </rPh>
    <phoneticPr fontId="1"/>
  </si>
  <si>
    <t>要求一覧</t>
    <rPh sb="0" eb="2">
      <t>ヨウキュウ</t>
    </rPh>
    <phoneticPr fontId="1"/>
  </si>
  <si>
    <t>課題No</t>
    <rPh sb="0" eb="2">
      <t>カダイ</t>
    </rPh>
    <phoneticPr fontId="1"/>
  </si>
  <si>
    <t>要求No</t>
    <rPh sb="0" eb="2">
      <t>ヨウキュウ</t>
    </rPh>
    <phoneticPr fontId="1"/>
  </si>
  <si>
    <t>R001</t>
    <phoneticPr fontId="1"/>
  </si>
  <si>
    <t>R002</t>
    <phoneticPr fontId="1"/>
  </si>
  <si>
    <t>R003</t>
    <phoneticPr fontId="1"/>
  </si>
  <si>
    <t>R004</t>
    <phoneticPr fontId="1"/>
  </si>
  <si>
    <t>R005</t>
    <phoneticPr fontId="1"/>
  </si>
  <si>
    <t>R006</t>
    <phoneticPr fontId="1"/>
  </si>
  <si>
    <t>CSVファイルを読み込めること</t>
    <phoneticPr fontId="1"/>
  </si>
  <si>
    <t>不要列を削除できること</t>
    <rPh sb="2" eb="3">
      <t>フヨウ</t>
    </rPh>
    <phoneticPr fontId="1"/>
  </si>
  <si>
    <t>列名を変更できること</t>
    <rPh sb="0" eb="2">
      <t>レテゥ</t>
    </rPh>
    <phoneticPr fontId="1"/>
  </si>
  <si>
    <t>列順を変更できること</t>
    <rPh sb="0" eb="1">
      <t>レテゥ</t>
    </rPh>
    <rPh sb="1" eb="2">
      <t>レテゥ</t>
    </rPh>
    <phoneticPr fontId="1"/>
  </si>
  <si>
    <t>Excel形式で出力できること</t>
    <rPh sb="5" eb="7">
      <t>ケイシキ</t>
    </rPh>
    <phoneticPr fontId="1"/>
  </si>
  <si>
    <t>処理ログを出力できること</t>
    <phoneticPr fontId="1"/>
  </si>
  <si>
    <t>機能No</t>
    <rPh sb="0" eb="2">
      <t>キノウ</t>
    </rPh>
    <phoneticPr fontId="1"/>
  </si>
  <si>
    <t>F001</t>
    <phoneticPr fontId="1"/>
  </si>
  <si>
    <t>F002</t>
    <phoneticPr fontId="1"/>
  </si>
  <si>
    <t>F003</t>
    <phoneticPr fontId="1"/>
  </si>
  <si>
    <t>F004</t>
    <phoneticPr fontId="1"/>
  </si>
  <si>
    <t>F005</t>
    <phoneticPr fontId="1"/>
  </si>
  <si>
    <t>F006</t>
    <phoneticPr fontId="1"/>
  </si>
  <si>
    <t>F007</t>
    <phoneticPr fontId="1"/>
  </si>
  <si>
    <t>CSV読み込み</t>
    <rPh sb="3" eb="4">
      <t>ヨミコミ</t>
    </rPh>
    <phoneticPr fontId="1"/>
  </si>
  <si>
    <t>データ加工</t>
    <phoneticPr fontId="1"/>
  </si>
  <si>
    <t>Excel出力</t>
    <rPh sb="5" eb="7">
      <t>シュテゥ</t>
    </rPh>
    <phoneticPr fontId="1"/>
  </si>
  <si>
    <t>ログ出力</t>
    <phoneticPr fontId="1"/>
  </si>
  <si>
    <t>指定されたCSVファイルを読み込む</t>
    <rPh sb="0" eb="2">
      <t>シテイサ</t>
    </rPh>
    <phoneticPr fontId="1"/>
  </si>
  <si>
    <t>不要列削除、列名変更、列順変更を行う</t>
    <rPh sb="0" eb="3">
      <t>フヨウ</t>
    </rPh>
    <rPh sb="3" eb="5">
      <t>サクジョ</t>
    </rPh>
    <rPh sb="6" eb="10">
      <t>レテゥ</t>
    </rPh>
    <rPh sb="11" eb="15">
      <t>レテゥ</t>
    </rPh>
    <phoneticPr fontId="1"/>
  </si>
  <si>
    <t>加工済みデータをExcel形式で出力する</t>
    <rPh sb="0" eb="3">
      <t>カコウズミ</t>
    </rPh>
    <rPh sb="13" eb="15">
      <t>ケイシキ</t>
    </rPh>
    <phoneticPr fontId="1"/>
  </si>
  <si>
    <t>処理結果、件数、エラー内容を記録する</t>
    <rPh sb="0" eb="4">
      <t>ショリ</t>
    </rPh>
    <rPh sb="5" eb="7">
      <t>ケンスウ</t>
    </rPh>
    <phoneticPr fontId="1"/>
  </si>
  <si>
    <t>R007</t>
    <phoneticPr fontId="1"/>
  </si>
  <si>
    <t>エラー発生時に原因を確認できること</t>
    <rPh sb="7" eb="9">
      <t>エラーハッセイ</t>
    </rPh>
    <phoneticPr fontId="1"/>
  </si>
  <si>
    <t>R008</t>
    <phoneticPr fontId="1"/>
  </si>
  <si>
    <t>UTF-8 / Shift-JIS のCSVに対応できること</t>
    <phoneticPr fontId="1"/>
  </si>
  <si>
    <t>自動整形の中身は以下の通り</t>
    <rPh sb="2" eb="4">
      <t>ジドウセイ</t>
    </rPh>
    <phoneticPr fontId="1"/>
  </si>
  <si>
    <t>不要列削除</t>
    <rPh sb="0" eb="5">
      <t>フヨウ</t>
    </rPh>
    <phoneticPr fontId="1"/>
  </si>
  <si>
    <t>列名変更</t>
    <rPh sb="0" eb="4">
      <t>レテゥ</t>
    </rPh>
    <phoneticPr fontId="1"/>
  </si>
  <si>
    <t>列並び替え</t>
    <rPh sb="0" eb="1">
      <t>レテゥ</t>
    </rPh>
    <phoneticPr fontId="1"/>
  </si>
  <si>
    <t>なし</t>
    <phoneticPr fontId="1"/>
  </si>
  <si>
    <t>操作方法</t>
    <rPh sb="0" eb="4">
      <t>ソウサ</t>
    </rPh>
    <phoneticPr fontId="1"/>
  </si>
  <si>
    <t>CSVファイルを指定して実行</t>
    <phoneticPr fontId="1"/>
  </si>
  <si>
    <t>画面構成</t>
    <rPh sb="0" eb="4">
      <t>ガメn</t>
    </rPh>
    <phoneticPr fontId="1"/>
  </si>
  <si>
    <t>GUIなし（CLI実行）</t>
    <rPh sb="9" eb="11">
      <t>ジッコウ</t>
    </rPh>
    <phoneticPr fontId="1"/>
  </si>
  <si>
    <t>CSV入力・Excel出力のみのバッチツール</t>
    <rPh sb="3" eb="5">
      <t>ニュウリョク</t>
    </rPh>
    <rPh sb="11" eb="13">
      <t>シュテゥ</t>
    </rPh>
    <phoneticPr fontId="1"/>
  </si>
  <si>
    <t>CSVファイル</t>
    <phoneticPr fontId="1"/>
  </si>
  <si>
    <t>File</t>
    <phoneticPr fontId="1"/>
  </si>
  <si>
    <t>◯</t>
    <phoneticPr fontId="1"/>
  </si>
  <si>
    <t>ファイル形式</t>
    <phoneticPr fontId="1"/>
  </si>
  <si>
    <t>CSV</t>
    <phoneticPr fontId="1"/>
  </si>
  <si>
    <t>ヘッダー行</t>
    <phoneticPr fontId="1"/>
  </si>
  <si>
    <t>データ行</t>
    <phoneticPr fontId="1"/>
  </si>
  <si>
    <t>入力フォルダ</t>
    <rPh sb="0" eb="2">
      <t>ニュウリョク</t>
    </rPh>
    <phoneticPr fontId="1"/>
  </si>
  <si>
    <t>あり</t>
    <phoneticPr fontId="1"/>
  </si>
  <si>
    <t>複数</t>
    <rPh sb="0" eb="2">
      <t>フクスウ</t>
    </rPh>
    <phoneticPr fontId="1"/>
  </si>
  <si>
    <t>文字列</t>
    <rPh sb="0" eb="3">
      <t>モジ</t>
    </rPh>
    <phoneticPr fontId="1"/>
  </si>
  <si>
    <t>Folder</t>
    <phoneticPr fontId="1"/>
  </si>
  <si>
    <t>２行目以降</t>
    <phoneticPr fontId="1"/>
  </si>
  <si>
    <t>指定列を使用</t>
    <rPh sb="0" eb="3">
      <t>シテイ</t>
    </rPh>
    <phoneticPr fontId="1"/>
  </si>
  <si>
    <t>任意</t>
    <rPh sb="0" eb="2">
      <t>ニンイ</t>
    </rPh>
    <phoneticPr fontId="1"/>
  </si>
  <si>
    <t>１行目をヘッダーとする（ヘッダー必須）</t>
    <phoneticPr fontId="1"/>
  </si>
  <si>
    <t>入力対象CSV（空ファイルはエラー）</t>
    <rPh sb="0" eb="4">
      <t>ニュウリョク</t>
    </rPh>
    <rPh sb="8" eb="9">
      <t xml:space="preserve">カラファイル </t>
    </rPh>
    <phoneticPr fontId="1"/>
  </si>
  <si>
    <t>UTF-8 / Shift-JIS対応予定（CSV形式のみ対応）</t>
    <rPh sb="17" eb="21">
      <t>タイオウ</t>
    </rPh>
    <rPh sb="25" eb="27">
      <t>ケイシキ</t>
    </rPh>
    <phoneticPr fontId="1"/>
  </si>
  <si>
    <t>Excelファイル</t>
    <phoneticPr fontId="1"/>
  </si>
  <si>
    <t>xlsx</t>
    <phoneticPr fontId="1"/>
  </si>
  <si>
    <t>シート名</t>
    <phoneticPr fontId="1"/>
  </si>
  <si>
    <t>Summary</t>
    <phoneticPr fontId="1"/>
  </si>
  <si>
    <t>列順</t>
    <rPh sb="0" eb="2">
      <t>レテゥ</t>
    </rPh>
    <phoneticPr fontId="1"/>
  </si>
  <si>
    <t>固定</t>
    <rPh sb="0" eb="2">
      <t>コテイ</t>
    </rPh>
    <phoneticPr fontId="1"/>
  </si>
  <si>
    <t>指定順で出力</t>
    <rPh sb="0" eb="3">
      <t>シテイ</t>
    </rPh>
    <phoneticPr fontId="1"/>
  </si>
  <si>
    <t>書式</t>
    <rPh sb="0" eb="2">
      <t>ショシキ</t>
    </rPh>
    <phoneticPr fontId="1"/>
  </si>
  <si>
    <t>Excel</t>
    <phoneticPr fontId="1"/>
  </si>
  <si>
    <t>基本書式設定</t>
    <rPh sb="0" eb="6">
      <t>キホn</t>
    </rPh>
    <phoneticPr fontId="1"/>
  </si>
  <si>
    <t>保存先</t>
    <rPh sb="0" eb="3">
      <t>ホゾn</t>
    </rPh>
    <phoneticPr fontId="1"/>
  </si>
  <si>
    <t>outputフォルダ</t>
    <rPh sb="0" eb="1">
      <t>キゾn</t>
    </rPh>
    <phoneticPr fontId="1"/>
  </si>
  <si>
    <t>処理結果（xlsx形式、既存ファイルは上書きしない、ファイル名は日時を付与）</t>
    <rPh sb="0" eb="4">
      <t>ショリ</t>
    </rPh>
    <rPh sb="9" eb="11">
      <t>ケイシキ</t>
    </rPh>
    <phoneticPr fontId="1"/>
  </si>
  <si>
    <t>社員番号</t>
    <rPh sb="0" eb="4">
      <t>シャイn</t>
    </rPh>
    <phoneticPr fontId="1"/>
  </si>
  <si>
    <t>氏名</t>
    <rPh sb="0" eb="2">
      <t>🈯️</t>
    </rPh>
    <phoneticPr fontId="1"/>
  </si>
  <si>
    <t>部署</t>
    <rPh sb="0" eb="2">
      <t>ブセィオ</t>
    </rPh>
    <phoneticPr fontId="1"/>
  </si>
  <si>
    <t>勤務時間</t>
    <rPh sb="0" eb="4">
      <t>キンム</t>
    </rPh>
    <phoneticPr fontId="1"/>
  </si>
  <si>
    <t>データ一覧（CSV）</t>
    <phoneticPr fontId="1"/>
  </si>
  <si>
    <t>データ一覧（Excel）</t>
    <phoneticPr fontId="1"/>
  </si>
  <si>
    <t>文字列</t>
    <rPh sb="0" eb="1">
      <t>モジ</t>
    </rPh>
    <phoneticPr fontId="1"/>
  </si>
  <si>
    <t>数値</t>
    <rPh sb="0" eb="2">
      <t>スウ</t>
    </rPh>
    <phoneticPr fontId="1"/>
  </si>
  <si>
    <t>PC</t>
    <phoneticPr fontId="1"/>
  </si>
  <si>
    <t>社員を一意に識別するID</t>
    <rPh sb="0" eb="2">
      <t>シャイn</t>
    </rPh>
    <rPh sb="3" eb="5">
      <t>１イ</t>
    </rPh>
    <phoneticPr fontId="1"/>
  </si>
  <si>
    <t>所属部署</t>
    <rPh sb="0" eb="4">
      <t>ショゾク</t>
    </rPh>
    <phoneticPr fontId="1"/>
  </si>
  <si>
    <t>勤務時間（時間単位）</t>
    <rPh sb="0" eb="4">
      <t>キンム</t>
    </rPh>
    <rPh sb="5" eb="9">
      <t>ジカンタn</t>
    </rPh>
    <phoneticPr fontId="1"/>
  </si>
  <si>
    <t>社員ID</t>
    <rPh sb="0" eb="2">
      <t>シャイn</t>
    </rPh>
    <phoneticPr fontId="1"/>
  </si>
  <si>
    <t>部署名</t>
    <rPh sb="0" eb="3">
      <t>ブセィオ</t>
    </rPh>
    <phoneticPr fontId="1"/>
  </si>
  <si>
    <t>桁数</t>
    <rPh sb="0" eb="2">
      <t>ケタスウ</t>
    </rPh>
    <phoneticPr fontId="1"/>
  </si>
  <si>
    <t>8</t>
    <phoneticPr fontId="1"/>
  </si>
  <si>
    <t>50</t>
    <phoneticPr fontId="1"/>
  </si>
  <si>
    <t>30</t>
    <phoneticPr fontId="1"/>
  </si>
  <si>
    <t>-</t>
    <phoneticPr fontId="1"/>
  </si>
  <si>
    <t>氏名（姓名を連結した文字列）</t>
    <rPh sb="0" eb="2">
      <t>シメイ</t>
    </rPh>
    <rPh sb="3" eb="5">
      <t>セイメイ</t>
    </rPh>
    <phoneticPr fontId="1"/>
  </si>
  <si>
    <t>小数可（小数点第2位まで）</t>
    <rPh sb="0" eb="2">
      <t>ショウスウ</t>
    </rPh>
    <rPh sb="2" eb="3">
      <t>🉑</t>
    </rPh>
    <rPh sb="4" eb="8">
      <t>ショウスウ</t>
    </rPh>
    <phoneticPr fontId="1"/>
  </si>
  <si>
    <t>Windows11</t>
    <phoneticPr fontId="1"/>
  </si>
  <si>
    <t>macOS</t>
    <phoneticPr fontId="1"/>
  </si>
  <si>
    <t>Python 3.13</t>
    <phoneticPr fontId="1"/>
  </si>
  <si>
    <t>pandas</t>
    <phoneticPr fontId="1"/>
  </si>
  <si>
    <t>openpyxl</t>
    <phoneticPr fontId="1"/>
  </si>
  <si>
    <t>pathlib</t>
    <phoneticPr fontId="1"/>
  </si>
  <si>
    <t>logging</t>
    <phoneticPr fontId="1"/>
  </si>
  <si>
    <t>chardet</t>
    <phoneticPr fontId="1"/>
  </si>
  <si>
    <t>Visual Studio Code</t>
    <phoneticPr fontId="1"/>
  </si>
  <si>
    <t>Python実行環境</t>
    <rPh sb="6" eb="10">
      <t>ジッコウ</t>
    </rPh>
    <phoneticPr fontId="1"/>
  </si>
  <si>
    <t>UTF-8</t>
    <phoneticPr fontId="1"/>
  </si>
  <si>
    <t>Shift-JIS</t>
    <phoneticPr fontId="1"/>
  </si>
  <si>
    <t>100MB程度を想定</t>
    <rPh sb="5" eb="7">
      <t>テイド</t>
    </rPh>
    <phoneticPr fontId="1"/>
  </si>
  <si>
    <t>CSV形式のみ対応</t>
    <rPh sb="3" eb="5">
      <t>ケイシキノミタ</t>
    </rPh>
    <phoneticPr fontId="1"/>
  </si>
  <si>
    <t>ヘッダー必須</t>
    <phoneticPr fontId="1"/>
  </si>
  <si>
    <t>Excel(xlsx)形式のみ出力</t>
    <rPh sb="11" eb="13">
      <t>ケイシキ</t>
    </rPh>
    <phoneticPr fontId="1"/>
  </si>
  <si>
    <t>性能</t>
    <rPh sb="0" eb="2">
      <t>セイノウ</t>
    </rPh>
    <phoneticPr fontId="1"/>
  </si>
  <si>
    <t>10,000件程度のCSVを数秒以内に処理することを目標とする</t>
    <rPh sb="6" eb="9">
      <t>ケn</t>
    </rPh>
    <phoneticPr fontId="1"/>
  </si>
  <si>
    <t>要求定義</t>
    <rPh sb="0" eb="2">
      <t>ヨウキュウ</t>
    </rPh>
    <rPh sb="2" eb="4">
      <t>テイギ</t>
    </rPh>
    <phoneticPr fontId="1"/>
  </si>
  <si>
    <t>完了</t>
    <rPh sb="0" eb="2">
      <t>カンリョウ</t>
    </rPh>
    <phoneticPr fontId="1"/>
  </si>
  <si>
    <t>作成中</t>
    <rPh sb="0" eb="3">
      <t>サクセイ</t>
    </rPh>
    <phoneticPr fontId="1"/>
  </si>
  <si>
    <t>必要に応じて作成</t>
    <rPh sb="0" eb="2">
      <t>ヒツヨウ</t>
    </rPh>
    <phoneticPr fontId="1"/>
  </si>
  <si>
    <t>→</t>
    <phoneticPr fontId="1"/>
  </si>
  <si>
    <t>加工</t>
    <rPh sb="0" eb="2">
      <t>カコウ</t>
    </rPh>
    <phoneticPr fontId="1"/>
  </si>
  <si>
    <t>各機能単位で確認</t>
    <rPh sb="0" eb="5">
      <t>カクキノ</t>
    </rPh>
    <phoneticPr fontId="1"/>
  </si>
  <si>
    <t>一連の処理確認</t>
    <rPh sb="0" eb="2">
      <t>イチレn</t>
    </rPh>
    <phoneticPr fontId="1"/>
  </si>
  <si>
    <t>v1.0としてGitHubに反映</t>
    <phoneticPr fontId="1"/>
  </si>
  <si>
    <t>正しいCSVを読み込み、Excelを出力できること</t>
    <rPh sb="0" eb="1">
      <t>タダシイ</t>
    </rPh>
    <phoneticPr fontId="1"/>
  </si>
  <si>
    <t>CSV未指定、空CSV、必要列不足時にエラーになること</t>
    <rPh sb="3" eb="6">
      <t>ミシテ</t>
    </rPh>
    <rPh sb="7" eb="8">
      <t xml:space="preserve">カラ </t>
    </rPh>
    <rPh sb="15" eb="18">
      <t>ヒツヨウ</t>
    </rPh>
    <phoneticPr fontId="1"/>
  </si>
  <si>
    <t>0件、1件、10,000件程度</t>
    <rPh sb="1" eb="2">
      <t>ケn</t>
    </rPh>
    <rPh sb="4" eb="5">
      <t>ケn</t>
    </rPh>
    <rPh sb="12" eb="15">
      <t>ケn</t>
    </rPh>
    <phoneticPr fontId="1"/>
  </si>
  <si>
    <t>10,000件程度を数秒以内で処理できることを目標</t>
    <rPh sb="6" eb="9">
      <t>ケn</t>
    </rPh>
    <rPh sb="15" eb="17">
      <t>デショリ</t>
    </rPh>
    <phoneticPr fontId="1"/>
  </si>
  <si>
    <t>UTF-8 / Shift-JIS</t>
    <phoneticPr fontId="1"/>
  </si>
  <si>
    <t>ヘッダーありCSV</t>
    <phoneticPr fontId="1"/>
  </si>
  <si>
    <t>GUI対応</t>
    <rPh sb="3" eb="5">
      <t>タイオウ</t>
    </rPh>
    <phoneticPr fontId="1"/>
  </si>
  <si>
    <t>複数CSV対応</t>
    <rPh sb="0" eb="2">
      <t>フクスウ</t>
    </rPh>
    <rPh sb="5" eb="7">
      <t>タイオウ</t>
    </rPh>
    <phoneticPr fontId="1"/>
  </si>
  <si>
    <t>設定ファイル対応</t>
    <rPh sb="0" eb="2">
      <t>セッテイ</t>
    </rPh>
    <phoneticPr fontId="1"/>
  </si>
  <si>
    <t>Google Sheets連携</t>
    <rPh sb="13" eb="15">
      <t>レンケイ</t>
    </rPh>
    <phoneticPr fontId="1"/>
  </si>
  <si>
    <t>操作性向上</t>
    <rPh sb="0" eb="5">
      <t>ソウサ</t>
    </rPh>
    <phoneticPr fontId="1"/>
  </si>
  <si>
    <t>一括処理</t>
    <rPh sb="0" eb="4">
      <t>イッカテゥ</t>
    </rPh>
    <phoneticPr fontId="1"/>
  </si>
  <si>
    <t>列変更を柔軟にする</t>
    <rPh sb="0" eb="3">
      <t>レテゥ</t>
    </rPh>
    <phoneticPr fontId="1"/>
  </si>
  <si>
    <t>業務利用範囲拡大</t>
    <rPh sb="0" eb="8">
      <t>ギョウ</t>
    </rPh>
    <phoneticPr fontId="1"/>
  </si>
  <si>
    <t>2.0</t>
    <phoneticPr fontId="1"/>
  </si>
  <si>
    <t>1.5</t>
    <phoneticPr fontId="1"/>
  </si>
  <si>
    <t>3.0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</si>
</sst>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8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32"/>
      <color rgb="FF000000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3" fillId="0" borderId="1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3" fillId="0" borderId="0" xfId="0" applyFont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7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2" borderId="9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0" xfId="0" applyBorder="1" applyAlignment="1">
      <alignment horizontal="centerContinuous" vertical="center"/>
    </xf>
    <xf numFmtId="0" fontId="0" fillId="0" borderId="12" xfId="0" applyBorder="1" applyAlignment="1">
      <alignment horizontal="centerContinuous" vertical="center"/>
    </xf>
    <xf numFmtId="0" fontId="0" fillId="0" borderId="13" xfId="0" applyBorder="1" applyAlignment="1">
      <alignment horizontal="centerContinuous" vertical="center"/>
    </xf>
    <xf numFmtId="0" fontId="0" fillId="0" borderId="15" xfId="0" applyBorder="1" applyAlignment="1">
      <alignment horizontal="centerContinuous" vertical="center"/>
    </xf>
    <xf numFmtId="0" fontId="0" fillId="0" borderId="16" xfId="0" applyBorder="1" applyAlignment="1">
      <alignment horizontal="centerContinuous" vertical="center"/>
    </xf>
    <xf numFmtId="0" fontId="0" fillId="0" borderId="17" xfId="0" applyBorder="1" applyAlignment="1">
      <alignment horizontal="centerContinuous" vertical="center"/>
    </xf>
    <xf numFmtId="0" fontId="0" fillId="0" borderId="16" xfId="0" applyBorder="1">
      <alignment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2" fillId="2" borderId="9" xfId="0" applyFont="1" applyFill="1" applyBorder="1">
      <alignment vertical="center"/>
    </xf>
    <xf numFmtId="0" fontId="2" fillId="2" borderId="8" xfId="0" applyFont="1" applyFill="1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2" borderId="7" xfId="0" applyFont="1" applyFill="1" applyBorder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11" xfId="0" quotePrefix="1" applyBorder="1">
      <alignment vertical="center"/>
    </xf>
    <xf numFmtId="0" fontId="0" fillId="0" borderId="18" xfId="0" quotePrefix="1" applyBorder="1">
      <alignment vertical="center"/>
    </xf>
    <xf numFmtId="0" fontId="7" fillId="0" borderId="0" xfId="0" applyFont="1">
      <alignment vertical="center"/>
    </xf>
    <xf numFmtId="0" fontId="3" fillId="0" borderId="10" xfId="0" applyFont="1" applyBorder="1">
      <alignment vertical="center"/>
    </xf>
    <xf numFmtId="0" fontId="0" fillId="2" borderId="8" xfId="0" applyFill="1" applyBorder="1">
      <alignment vertical="center"/>
    </xf>
    <xf numFmtId="0" fontId="0" fillId="0" borderId="16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>
      <alignment vertical="center"/>
    </xf>
    <xf numFmtId="0" fontId="0" fillId="0" borderId="19" xfId="0" applyBorder="1">
      <alignment vertical="center"/>
    </xf>
    <xf numFmtId="0" fontId="0" fillId="0" borderId="21" xfId="0" applyBorder="1">
      <alignment vertical="center"/>
    </xf>
    <xf numFmtId="0" fontId="0" fillId="0" borderId="20" xfId="0" quotePrefix="1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16" xfId="0" quotePrefix="1" applyBorder="1">
      <alignment vertical="center"/>
    </xf>
    <xf numFmtId="0" fontId="0" fillId="0" borderId="10" xfId="0" quotePrefix="1" applyBorder="1">
      <alignment vertical="center"/>
    </xf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38100</xdr:colOff>
      <xdr:row>4</xdr:row>
      <xdr:rowOff>0</xdr:rowOff>
    </xdr:from>
    <xdr:to>
      <xdr:col>23</xdr:col>
      <xdr:colOff>0</xdr:colOff>
      <xdr:row>9</xdr:row>
      <xdr:rowOff>0</xdr:rowOff>
    </xdr:to>
    <xdr:sp macro="" textlink="">
      <xdr:nvSpPr>
        <xdr:cNvPr id="3" name="フローチャート: 代替処理 2">
          <a:extLst>
            <a:ext uri="{FF2B5EF4-FFF2-40B4-BE49-F238E27FC236}">
              <a16:creationId xmlns:a16="http://schemas.microsoft.com/office/drawing/2014/main" id="{A0DAB340-EF63-7906-9F99-BBF5E321F39A}"/>
            </a:ext>
          </a:extLst>
        </xdr:cNvPr>
        <xdr:cNvSpPr/>
      </xdr:nvSpPr>
      <xdr:spPr>
        <a:xfrm>
          <a:off x="749300" y="1016000"/>
          <a:ext cx="7429500" cy="1701800"/>
        </a:xfrm>
        <a:prstGeom prst="flowChartAlternateProcess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28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6</xdr:row>
      <xdr:rowOff>0</xdr:rowOff>
    </xdr:from>
    <xdr:to>
      <xdr:col>25</xdr:col>
      <xdr:colOff>0</xdr:colOff>
      <xdr:row>11</xdr:row>
      <xdr:rowOff>0</xdr:rowOff>
    </xdr:to>
    <xdr:grpSp>
      <xdr:nvGrpSpPr>
        <xdr:cNvPr id="4" name="グループ化 3">
          <a:extLst>
            <a:ext uri="{FF2B5EF4-FFF2-40B4-BE49-F238E27FC236}">
              <a16:creationId xmlns:a16="http://schemas.microsoft.com/office/drawing/2014/main" id="{393841C6-8623-4748-8EE9-17EDA322F5D1}"/>
            </a:ext>
          </a:extLst>
        </xdr:cNvPr>
        <xdr:cNvGrpSpPr/>
      </xdr:nvGrpSpPr>
      <xdr:grpSpPr>
        <a:xfrm>
          <a:off x="355600" y="1549400"/>
          <a:ext cx="8534400" cy="1270000"/>
          <a:chOff x="355600" y="1549400"/>
          <a:chExt cx="8534400" cy="1270000"/>
        </a:xfrm>
      </xdr:grpSpPr>
      <xdr:sp macro="" textlink="">
        <xdr:nvSpPr>
          <xdr:cNvPr id="2" name="テキスト ボックス 1">
            <a:extLst>
              <a:ext uri="{FF2B5EF4-FFF2-40B4-BE49-F238E27FC236}">
                <a16:creationId xmlns:a16="http://schemas.microsoft.com/office/drawing/2014/main" id="{69B22497-30FD-EA07-4EB7-1371E8DA8184}"/>
              </a:ext>
            </a:extLst>
          </xdr:cNvPr>
          <xdr:cNvSpPr txBox="1"/>
        </xdr:nvSpPr>
        <xdr:spPr>
          <a:xfrm>
            <a:off x="355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CSV</a:t>
            </a:r>
            <a:r>
              <a:rPr kumimoji="1" lang="ja-JP" altLang="en-US" sz="1100"/>
              <a:t>を受け取る</a:t>
            </a:r>
          </a:p>
        </xdr:txBody>
      </xdr:sp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501AB75B-7818-DA48-BE24-2A6083D2DD2F}"/>
              </a:ext>
            </a:extLst>
          </xdr:cNvPr>
          <xdr:cNvSpPr txBox="1"/>
        </xdr:nvSpPr>
        <xdr:spPr>
          <a:xfrm>
            <a:off x="2133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Excel</a:t>
            </a:r>
            <a:r>
              <a:rPr kumimoji="1" lang="ja-JP" altLang="en-US" sz="1100"/>
              <a:t>で開く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F3925610-8FBA-C84E-8BEC-4FB75A3649D9}"/>
              </a:ext>
            </a:extLst>
          </xdr:cNvPr>
          <xdr:cNvSpPr txBox="1"/>
        </xdr:nvSpPr>
        <xdr:spPr>
          <a:xfrm>
            <a:off x="3911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不要な列の削除</a:t>
            </a: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0C580422-446C-4949-86AE-95FD97598D2C}"/>
              </a:ext>
            </a:extLst>
          </xdr:cNvPr>
          <xdr:cNvSpPr txBox="1"/>
        </xdr:nvSpPr>
        <xdr:spPr>
          <a:xfrm>
            <a:off x="5689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列名を変更</a:t>
            </a: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39FA6826-B960-674A-B4F7-331AFCF86F53}"/>
              </a:ext>
            </a:extLst>
          </xdr:cNvPr>
          <xdr:cNvSpPr txBox="1"/>
        </xdr:nvSpPr>
        <xdr:spPr>
          <a:xfrm>
            <a:off x="7467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並び替え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56D962EF-9C32-914F-A9A8-9755696A500D}"/>
              </a:ext>
            </a:extLst>
          </xdr:cNvPr>
          <xdr:cNvSpPr txBox="1"/>
        </xdr:nvSpPr>
        <xdr:spPr>
          <a:xfrm>
            <a:off x="355600" y="2311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不要データを削除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949C67D5-6B17-324A-9C63-6808E34088A2}"/>
              </a:ext>
            </a:extLst>
          </xdr:cNvPr>
          <xdr:cNvSpPr txBox="1"/>
        </xdr:nvSpPr>
        <xdr:spPr>
          <a:xfrm>
            <a:off x="2133600" y="2311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保存</a:t>
            </a: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605DCBDD-D7FA-FC48-AB87-35C97409F65C}"/>
              </a:ext>
            </a:extLst>
          </xdr:cNvPr>
          <xdr:cNvSpPr txBox="1"/>
        </xdr:nvSpPr>
        <xdr:spPr>
          <a:xfrm>
            <a:off x="3911600" y="2311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担当者が利用</a:t>
            </a:r>
          </a:p>
        </xdr:txBody>
      </xdr: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8B903654-04FF-5F45-DF02-AAAB06538786}"/>
              </a:ext>
            </a:extLst>
          </xdr:cNvPr>
          <xdr:cNvCxnSpPr>
            <a:stCxn id="2" idx="3"/>
            <a:endCxn id="3" idx="1"/>
          </xdr:cNvCxnSpPr>
        </xdr:nvCxnSpPr>
        <xdr:spPr>
          <a:xfrm>
            <a:off x="1778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直線矢印コネクタ 13">
            <a:extLst>
              <a:ext uri="{FF2B5EF4-FFF2-40B4-BE49-F238E27FC236}">
                <a16:creationId xmlns:a16="http://schemas.microsoft.com/office/drawing/2014/main" id="{4EB09148-4280-C140-A1EC-B1CE768057DF}"/>
              </a:ext>
            </a:extLst>
          </xdr:cNvPr>
          <xdr:cNvCxnSpPr>
            <a:stCxn id="3" idx="3"/>
            <a:endCxn id="5" idx="1"/>
          </xdr:cNvCxnSpPr>
        </xdr:nvCxnSpPr>
        <xdr:spPr>
          <a:xfrm>
            <a:off x="3556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F0B2F495-FCEF-AF4F-AC76-58383EEAFC5E}"/>
              </a:ext>
            </a:extLst>
          </xdr:cNvPr>
          <xdr:cNvCxnSpPr>
            <a:stCxn id="5" idx="3"/>
            <a:endCxn id="6" idx="1"/>
          </xdr:cNvCxnSpPr>
        </xdr:nvCxnSpPr>
        <xdr:spPr>
          <a:xfrm>
            <a:off x="5334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2AAEDE35-EE33-4F4F-B5EE-36056C13C21B}"/>
              </a:ext>
            </a:extLst>
          </xdr:cNvPr>
          <xdr:cNvCxnSpPr>
            <a:stCxn id="6" idx="3"/>
            <a:endCxn id="7" idx="1"/>
          </xdr:cNvCxnSpPr>
        </xdr:nvCxnSpPr>
        <xdr:spPr>
          <a:xfrm>
            <a:off x="7112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直線矢印コネクタ 16">
            <a:extLst>
              <a:ext uri="{FF2B5EF4-FFF2-40B4-BE49-F238E27FC236}">
                <a16:creationId xmlns:a16="http://schemas.microsoft.com/office/drawing/2014/main" id="{C76F7ADA-52A9-0A40-84A0-6EB7376FF98C}"/>
              </a:ext>
            </a:extLst>
          </xdr:cNvPr>
          <xdr:cNvCxnSpPr>
            <a:stCxn id="8" idx="3"/>
            <a:endCxn id="9" idx="1"/>
          </xdr:cNvCxnSpPr>
        </xdr:nvCxnSpPr>
        <xdr:spPr>
          <a:xfrm>
            <a:off x="1778000" y="2565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直線矢印コネクタ 17">
            <a:extLst>
              <a:ext uri="{FF2B5EF4-FFF2-40B4-BE49-F238E27FC236}">
                <a16:creationId xmlns:a16="http://schemas.microsoft.com/office/drawing/2014/main" id="{6575F0E5-7CEF-0549-B25C-DCC3FE4E2844}"/>
              </a:ext>
            </a:extLst>
          </xdr:cNvPr>
          <xdr:cNvCxnSpPr>
            <a:stCxn id="9" idx="3"/>
            <a:endCxn id="10" idx="1"/>
          </xdr:cNvCxnSpPr>
        </xdr:nvCxnSpPr>
        <xdr:spPr>
          <a:xfrm>
            <a:off x="3556000" y="2565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0" name="カギ線コネクタ 19">
            <a:extLst>
              <a:ext uri="{FF2B5EF4-FFF2-40B4-BE49-F238E27FC236}">
                <a16:creationId xmlns:a16="http://schemas.microsoft.com/office/drawing/2014/main" id="{489496FB-96A8-B223-1CD0-3016D1A4A5F3}"/>
              </a:ext>
            </a:extLst>
          </xdr:cNvPr>
          <xdr:cNvCxnSpPr>
            <a:stCxn id="7" idx="3"/>
            <a:endCxn id="8" idx="1"/>
          </xdr:cNvCxnSpPr>
        </xdr:nvCxnSpPr>
        <xdr:spPr>
          <a:xfrm flipH="1">
            <a:off x="355600" y="1803400"/>
            <a:ext cx="8534400" cy="762000"/>
          </a:xfrm>
          <a:prstGeom prst="bentConnector5">
            <a:avLst>
              <a:gd name="adj1" fmla="val -2679"/>
              <a:gd name="adj2" fmla="val 50000"/>
              <a:gd name="adj3" fmla="val 102679"/>
            </a:avLst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25</xdr:col>
      <xdr:colOff>0</xdr:colOff>
      <xdr:row>10</xdr:row>
      <xdr:rowOff>0</xdr:rowOff>
    </xdr:to>
    <xdr:grpSp>
      <xdr:nvGrpSpPr>
        <xdr:cNvPr id="2" name="グループ化 1">
          <a:extLst>
            <a:ext uri="{FF2B5EF4-FFF2-40B4-BE49-F238E27FC236}">
              <a16:creationId xmlns:a16="http://schemas.microsoft.com/office/drawing/2014/main" id="{451A273F-6C49-A441-80D9-4A09A6EB8F87}"/>
            </a:ext>
          </a:extLst>
        </xdr:cNvPr>
        <xdr:cNvGrpSpPr/>
      </xdr:nvGrpSpPr>
      <xdr:grpSpPr>
        <a:xfrm>
          <a:off x="355600" y="1295400"/>
          <a:ext cx="8534400" cy="1270000"/>
          <a:chOff x="355600" y="1549400"/>
          <a:chExt cx="8534400" cy="1270000"/>
        </a:xfrm>
      </xdr:grpSpPr>
      <xdr:sp macro="" textlink="">
        <xdr:nvSpPr>
          <xdr:cNvPr id="3" name="テキスト ボックス 2">
            <a:extLst>
              <a:ext uri="{FF2B5EF4-FFF2-40B4-BE49-F238E27FC236}">
                <a16:creationId xmlns:a16="http://schemas.microsoft.com/office/drawing/2014/main" id="{E5B5AA44-F42D-D569-5371-2BE2D25139C3}"/>
              </a:ext>
            </a:extLst>
          </xdr:cNvPr>
          <xdr:cNvSpPr txBox="1"/>
        </xdr:nvSpPr>
        <xdr:spPr>
          <a:xfrm>
            <a:off x="355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CSV</a:t>
            </a:r>
            <a:r>
              <a:rPr kumimoji="1" lang="ja-JP" altLang="en-US" sz="1100"/>
              <a:t>を受け取る</a:t>
            </a:r>
          </a:p>
        </xdr:txBody>
      </xdr:sp>
      <xdr:sp macro="" textlink="">
        <xdr:nvSpPr>
          <xdr:cNvPr id="4" name="テキスト ボックス 3">
            <a:extLst>
              <a:ext uri="{FF2B5EF4-FFF2-40B4-BE49-F238E27FC236}">
                <a16:creationId xmlns:a16="http://schemas.microsoft.com/office/drawing/2014/main" id="{F93DDAD8-A519-EA29-5B09-020ACB319DD1}"/>
              </a:ext>
            </a:extLst>
          </xdr:cNvPr>
          <xdr:cNvSpPr txBox="1"/>
        </xdr:nvSpPr>
        <xdr:spPr>
          <a:xfrm>
            <a:off x="2133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Excel</a:t>
            </a:r>
            <a:r>
              <a:rPr kumimoji="1" lang="ja-JP" altLang="en-US" sz="1100"/>
              <a:t>で開く</a:t>
            </a:r>
          </a:p>
        </xdr:txBody>
      </xdr:sp>
      <xdr:sp macro="" textlink="">
        <xdr:nvSpPr>
          <xdr:cNvPr id="5" name="テキスト ボックス 4">
            <a:extLst>
              <a:ext uri="{FF2B5EF4-FFF2-40B4-BE49-F238E27FC236}">
                <a16:creationId xmlns:a16="http://schemas.microsoft.com/office/drawing/2014/main" id="{B63B7197-5F50-4CBA-1307-B66F9CAD0C38}"/>
              </a:ext>
            </a:extLst>
          </xdr:cNvPr>
          <xdr:cNvSpPr txBox="1"/>
        </xdr:nvSpPr>
        <xdr:spPr>
          <a:xfrm>
            <a:off x="3911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不要な列の削除</a:t>
            </a:r>
          </a:p>
        </xdr:txBody>
      </xdr:sp>
      <xdr:sp macro="" textlink="">
        <xdr:nvSpPr>
          <xdr:cNvPr id="6" name="テキスト ボックス 5">
            <a:extLst>
              <a:ext uri="{FF2B5EF4-FFF2-40B4-BE49-F238E27FC236}">
                <a16:creationId xmlns:a16="http://schemas.microsoft.com/office/drawing/2014/main" id="{4CD26E81-3E37-9534-B560-BC58727B900B}"/>
              </a:ext>
            </a:extLst>
          </xdr:cNvPr>
          <xdr:cNvSpPr txBox="1"/>
        </xdr:nvSpPr>
        <xdr:spPr>
          <a:xfrm>
            <a:off x="5689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列名を変更</a:t>
            </a:r>
          </a:p>
        </xdr:txBody>
      </xdr:sp>
      <xdr:sp macro="" textlink="">
        <xdr:nvSpPr>
          <xdr:cNvPr id="7" name="テキスト ボックス 6">
            <a:extLst>
              <a:ext uri="{FF2B5EF4-FFF2-40B4-BE49-F238E27FC236}">
                <a16:creationId xmlns:a16="http://schemas.microsoft.com/office/drawing/2014/main" id="{15F66491-ABC4-5B6F-C852-9A98C8713ADA}"/>
              </a:ext>
            </a:extLst>
          </xdr:cNvPr>
          <xdr:cNvSpPr txBox="1"/>
        </xdr:nvSpPr>
        <xdr:spPr>
          <a:xfrm>
            <a:off x="7467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並び替え</a:t>
            </a:r>
          </a:p>
        </xdr:txBody>
      </xdr:sp>
      <xdr:sp macro="" textlink="">
        <xdr:nvSpPr>
          <xdr:cNvPr id="8" name="テキスト ボックス 7">
            <a:extLst>
              <a:ext uri="{FF2B5EF4-FFF2-40B4-BE49-F238E27FC236}">
                <a16:creationId xmlns:a16="http://schemas.microsoft.com/office/drawing/2014/main" id="{E16472E9-6924-15DE-B41A-A5D933D4D136}"/>
              </a:ext>
            </a:extLst>
          </xdr:cNvPr>
          <xdr:cNvSpPr txBox="1"/>
        </xdr:nvSpPr>
        <xdr:spPr>
          <a:xfrm>
            <a:off x="355600" y="2311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不要データを削除</a:t>
            </a:r>
          </a:p>
        </xdr:txBody>
      </xdr:sp>
      <xdr:sp macro="" textlink="">
        <xdr:nvSpPr>
          <xdr:cNvPr id="9" name="テキスト ボックス 8">
            <a:extLst>
              <a:ext uri="{FF2B5EF4-FFF2-40B4-BE49-F238E27FC236}">
                <a16:creationId xmlns:a16="http://schemas.microsoft.com/office/drawing/2014/main" id="{35EE9C4B-6313-E60D-1C74-F8781A5D1893}"/>
              </a:ext>
            </a:extLst>
          </xdr:cNvPr>
          <xdr:cNvSpPr txBox="1"/>
        </xdr:nvSpPr>
        <xdr:spPr>
          <a:xfrm>
            <a:off x="2133600" y="2311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保存</a:t>
            </a:r>
          </a:p>
        </xdr:txBody>
      </xdr:sp>
      <xdr:sp macro="" textlink="">
        <xdr:nvSpPr>
          <xdr:cNvPr id="10" name="テキスト ボックス 9">
            <a:extLst>
              <a:ext uri="{FF2B5EF4-FFF2-40B4-BE49-F238E27FC236}">
                <a16:creationId xmlns:a16="http://schemas.microsoft.com/office/drawing/2014/main" id="{BF43FDA9-7ACE-9BA2-B2E4-5E37A6A6A7F7}"/>
              </a:ext>
            </a:extLst>
          </xdr:cNvPr>
          <xdr:cNvSpPr txBox="1"/>
        </xdr:nvSpPr>
        <xdr:spPr>
          <a:xfrm>
            <a:off x="3911600" y="2311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担当者が利用</a:t>
            </a:r>
          </a:p>
        </xdr:txBody>
      </xdr:sp>
      <xdr:cxnSp macro="">
        <xdr:nvCxnSpPr>
          <xdr:cNvPr id="11" name="直線矢印コネクタ 10">
            <a:extLst>
              <a:ext uri="{FF2B5EF4-FFF2-40B4-BE49-F238E27FC236}">
                <a16:creationId xmlns:a16="http://schemas.microsoft.com/office/drawing/2014/main" id="{7F209218-B1CF-EAFB-7436-54A51AB6764F}"/>
              </a:ext>
            </a:extLst>
          </xdr:cNvPr>
          <xdr:cNvCxnSpPr>
            <a:stCxn id="3" idx="3"/>
            <a:endCxn id="4" idx="1"/>
          </xdr:cNvCxnSpPr>
        </xdr:nvCxnSpPr>
        <xdr:spPr>
          <a:xfrm>
            <a:off x="1778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2" name="直線矢印コネクタ 11">
            <a:extLst>
              <a:ext uri="{FF2B5EF4-FFF2-40B4-BE49-F238E27FC236}">
                <a16:creationId xmlns:a16="http://schemas.microsoft.com/office/drawing/2014/main" id="{2552E097-FA5C-F541-56BE-8566DD8F7F6D}"/>
              </a:ext>
            </a:extLst>
          </xdr:cNvPr>
          <xdr:cNvCxnSpPr>
            <a:stCxn id="4" idx="3"/>
            <a:endCxn id="5" idx="1"/>
          </xdr:cNvCxnSpPr>
        </xdr:nvCxnSpPr>
        <xdr:spPr>
          <a:xfrm>
            <a:off x="3556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3" name="直線矢印コネクタ 12">
            <a:extLst>
              <a:ext uri="{FF2B5EF4-FFF2-40B4-BE49-F238E27FC236}">
                <a16:creationId xmlns:a16="http://schemas.microsoft.com/office/drawing/2014/main" id="{DEFC7086-8C96-FDB0-1CB5-5D5FFE4AB312}"/>
              </a:ext>
            </a:extLst>
          </xdr:cNvPr>
          <xdr:cNvCxnSpPr>
            <a:stCxn id="5" idx="3"/>
            <a:endCxn id="6" idx="1"/>
          </xdr:cNvCxnSpPr>
        </xdr:nvCxnSpPr>
        <xdr:spPr>
          <a:xfrm>
            <a:off x="5334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" name="直線矢印コネクタ 13">
            <a:extLst>
              <a:ext uri="{FF2B5EF4-FFF2-40B4-BE49-F238E27FC236}">
                <a16:creationId xmlns:a16="http://schemas.microsoft.com/office/drawing/2014/main" id="{952D11FE-7CD4-8431-A2A5-5D2D49B24FC2}"/>
              </a:ext>
            </a:extLst>
          </xdr:cNvPr>
          <xdr:cNvCxnSpPr>
            <a:stCxn id="6" idx="3"/>
            <a:endCxn id="7" idx="1"/>
          </xdr:cNvCxnSpPr>
        </xdr:nvCxnSpPr>
        <xdr:spPr>
          <a:xfrm>
            <a:off x="7112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5" name="直線矢印コネクタ 14">
            <a:extLst>
              <a:ext uri="{FF2B5EF4-FFF2-40B4-BE49-F238E27FC236}">
                <a16:creationId xmlns:a16="http://schemas.microsoft.com/office/drawing/2014/main" id="{02E89B54-0EC4-FC3D-9B66-F7961A0DF912}"/>
              </a:ext>
            </a:extLst>
          </xdr:cNvPr>
          <xdr:cNvCxnSpPr>
            <a:stCxn id="8" idx="3"/>
            <a:endCxn id="9" idx="1"/>
          </xdr:cNvCxnSpPr>
        </xdr:nvCxnSpPr>
        <xdr:spPr>
          <a:xfrm>
            <a:off x="1778000" y="2565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直線矢印コネクタ 15">
            <a:extLst>
              <a:ext uri="{FF2B5EF4-FFF2-40B4-BE49-F238E27FC236}">
                <a16:creationId xmlns:a16="http://schemas.microsoft.com/office/drawing/2014/main" id="{A88E7785-6A48-13C6-35CF-5AF7DA5E8285}"/>
              </a:ext>
            </a:extLst>
          </xdr:cNvPr>
          <xdr:cNvCxnSpPr>
            <a:stCxn id="9" idx="3"/>
            <a:endCxn id="10" idx="1"/>
          </xdr:cNvCxnSpPr>
        </xdr:nvCxnSpPr>
        <xdr:spPr>
          <a:xfrm>
            <a:off x="3556000" y="2565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カギ線コネクタ 16">
            <a:extLst>
              <a:ext uri="{FF2B5EF4-FFF2-40B4-BE49-F238E27FC236}">
                <a16:creationId xmlns:a16="http://schemas.microsoft.com/office/drawing/2014/main" id="{2E996EAA-8BBC-B1CB-1DB8-1995496F9CAF}"/>
              </a:ext>
            </a:extLst>
          </xdr:cNvPr>
          <xdr:cNvCxnSpPr>
            <a:stCxn id="7" idx="3"/>
            <a:endCxn id="8" idx="1"/>
          </xdr:cNvCxnSpPr>
        </xdr:nvCxnSpPr>
        <xdr:spPr>
          <a:xfrm flipH="1">
            <a:off x="355600" y="1803400"/>
            <a:ext cx="8534400" cy="762000"/>
          </a:xfrm>
          <a:prstGeom prst="bentConnector5">
            <a:avLst>
              <a:gd name="adj1" fmla="val -2679"/>
              <a:gd name="adj2" fmla="val 50000"/>
              <a:gd name="adj3" fmla="val 102679"/>
            </a:avLst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0</xdr:colOff>
      <xdr:row>19</xdr:row>
      <xdr:rowOff>228600</xdr:rowOff>
    </xdr:from>
    <xdr:to>
      <xdr:col>25</xdr:col>
      <xdr:colOff>0</xdr:colOff>
      <xdr:row>24</xdr:row>
      <xdr:rowOff>228600</xdr:rowOff>
    </xdr:to>
    <xdr:grpSp>
      <xdr:nvGrpSpPr>
        <xdr:cNvPr id="18" name="グループ化 17">
          <a:extLst>
            <a:ext uri="{FF2B5EF4-FFF2-40B4-BE49-F238E27FC236}">
              <a16:creationId xmlns:a16="http://schemas.microsoft.com/office/drawing/2014/main" id="{3B27F3AB-2746-3A4D-AF5B-FD49814A90DA}"/>
            </a:ext>
          </a:extLst>
        </xdr:cNvPr>
        <xdr:cNvGrpSpPr/>
      </xdr:nvGrpSpPr>
      <xdr:grpSpPr>
        <a:xfrm>
          <a:off x="355600" y="5080000"/>
          <a:ext cx="8534400" cy="1270000"/>
          <a:chOff x="355600" y="1549400"/>
          <a:chExt cx="8534400" cy="1270000"/>
        </a:xfrm>
      </xdr:grpSpPr>
      <xdr:sp macro="" textlink="">
        <xdr:nvSpPr>
          <xdr:cNvPr id="19" name="テキスト ボックス 18">
            <a:extLst>
              <a:ext uri="{FF2B5EF4-FFF2-40B4-BE49-F238E27FC236}">
                <a16:creationId xmlns:a16="http://schemas.microsoft.com/office/drawing/2014/main" id="{881F8CD1-4151-53C6-167C-85E70F13E9F3}"/>
              </a:ext>
            </a:extLst>
          </xdr:cNvPr>
          <xdr:cNvSpPr txBox="1"/>
        </xdr:nvSpPr>
        <xdr:spPr>
          <a:xfrm>
            <a:off x="355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CSV</a:t>
            </a:r>
            <a:r>
              <a:rPr kumimoji="1" lang="ja-JP" altLang="en-US" sz="1100"/>
              <a:t>を受け取る</a:t>
            </a:r>
          </a:p>
        </xdr:txBody>
      </xdr:sp>
      <xdr:sp macro="" textlink="">
        <xdr:nvSpPr>
          <xdr:cNvPr id="20" name="テキスト ボックス 19">
            <a:extLst>
              <a:ext uri="{FF2B5EF4-FFF2-40B4-BE49-F238E27FC236}">
                <a16:creationId xmlns:a16="http://schemas.microsoft.com/office/drawing/2014/main" id="{B9F96DC2-C479-9C24-548A-24547FF93F32}"/>
              </a:ext>
            </a:extLst>
          </xdr:cNvPr>
          <xdr:cNvSpPr txBox="1"/>
        </xdr:nvSpPr>
        <xdr:spPr>
          <a:xfrm>
            <a:off x="2133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Project001 </a:t>
            </a:r>
            <a:r>
              <a:rPr kumimoji="1" lang="ja-JP" altLang="en-US" sz="1100"/>
              <a:t>起動</a:t>
            </a:r>
          </a:p>
        </xdr:txBody>
      </xdr:sp>
      <xdr:sp macro="" textlink="">
        <xdr:nvSpPr>
          <xdr:cNvPr id="21" name="テキスト ボックス 20">
            <a:extLst>
              <a:ext uri="{FF2B5EF4-FFF2-40B4-BE49-F238E27FC236}">
                <a16:creationId xmlns:a16="http://schemas.microsoft.com/office/drawing/2014/main" id="{31A71212-5840-A408-4AD7-6ABDC43634C9}"/>
              </a:ext>
            </a:extLst>
          </xdr:cNvPr>
          <xdr:cNvSpPr txBox="1"/>
        </xdr:nvSpPr>
        <xdr:spPr>
          <a:xfrm>
            <a:off x="3911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CSV</a:t>
            </a:r>
            <a:r>
              <a:rPr kumimoji="1" lang="ja-JP" altLang="en-US" sz="1100"/>
              <a:t>選択</a:t>
            </a:r>
          </a:p>
        </xdr:txBody>
      </xdr:sp>
      <xdr:sp macro="" textlink="">
        <xdr:nvSpPr>
          <xdr:cNvPr id="22" name="テキスト ボックス 21">
            <a:extLst>
              <a:ext uri="{FF2B5EF4-FFF2-40B4-BE49-F238E27FC236}">
                <a16:creationId xmlns:a16="http://schemas.microsoft.com/office/drawing/2014/main" id="{2202A109-0B7D-6619-482C-D99CAC2A8EDC}"/>
              </a:ext>
            </a:extLst>
          </xdr:cNvPr>
          <xdr:cNvSpPr txBox="1"/>
        </xdr:nvSpPr>
        <xdr:spPr>
          <a:xfrm>
            <a:off x="5689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CSV</a:t>
            </a:r>
            <a:r>
              <a:rPr kumimoji="1" lang="ja-JP" altLang="en-US" sz="1100"/>
              <a:t>読み込み</a:t>
            </a:r>
          </a:p>
        </xdr:txBody>
      </xdr:sp>
      <xdr:sp macro="" textlink="">
        <xdr:nvSpPr>
          <xdr:cNvPr id="23" name="テキスト ボックス 22">
            <a:extLst>
              <a:ext uri="{FF2B5EF4-FFF2-40B4-BE49-F238E27FC236}">
                <a16:creationId xmlns:a16="http://schemas.microsoft.com/office/drawing/2014/main" id="{E5219D07-299E-5E00-5164-9D9FC44B7E6E}"/>
              </a:ext>
            </a:extLst>
          </xdr:cNvPr>
          <xdr:cNvSpPr txBox="1"/>
        </xdr:nvSpPr>
        <xdr:spPr>
          <a:xfrm>
            <a:off x="7467600" y="1549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自動整形</a:t>
            </a:r>
          </a:p>
        </xdr:txBody>
      </xdr:sp>
      <xdr:sp macro="" textlink="">
        <xdr:nvSpPr>
          <xdr:cNvPr id="24" name="テキスト ボックス 23">
            <a:extLst>
              <a:ext uri="{FF2B5EF4-FFF2-40B4-BE49-F238E27FC236}">
                <a16:creationId xmlns:a16="http://schemas.microsoft.com/office/drawing/2014/main" id="{1CD3EF43-C10E-4914-4C92-DF300BD651A7}"/>
              </a:ext>
            </a:extLst>
          </xdr:cNvPr>
          <xdr:cNvSpPr txBox="1"/>
        </xdr:nvSpPr>
        <xdr:spPr>
          <a:xfrm>
            <a:off x="355600" y="2311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en-US" altLang="ja-JP" sz="1100"/>
              <a:t>Excel</a:t>
            </a:r>
            <a:r>
              <a:rPr kumimoji="1" lang="ja-JP" altLang="en-US" sz="1100"/>
              <a:t>出力</a:t>
            </a:r>
          </a:p>
        </xdr:txBody>
      </xdr:sp>
      <xdr:sp macro="" textlink="">
        <xdr:nvSpPr>
          <xdr:cNvPr id="25" name="テキスト ボックス 24">
            <a:extLst>
              <a:ext uri="{FF2B5EF4-FFF2-40B4-BE49-F238E27FC236}">
                <a16:creationId xmlns:a16="http://schemas.microsoft.com/office/drawing/2014/main" id="{0020A3E3-DB74-01F5-6D81-08903D98975E}"/>
              </a:ext>
            </a:extLst>
          </xdr:cNvPr>
          <xdr:cNvSpPr txBox="1"/>
        </xdr:nvSpPr>
        <xdr:spPr>
          <a:xfrm>
            <a:off x="2133600" y="2311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ログ出力</a:t>
            </a:r>
          </a:p>
        </xdr:txBody>
      </xdr:sp>
      <xdr:sp macro="" textlink="">
        <xdr:nvSpPr>
          <xdr:cNvPr id="26" name="テキスト ボックス 25">
            <a:extLst>
              <a:ext uri="{FF2B5EF4-FFF2-40B4-BE49-F238E27FC236}">
                <a16:creationId xmlns:a16="http://schemas.microsoft.com/office/drawing/2014/main" id="{BD2BD462-B887-ED6C-55FC-DB1233205724}"/>
              </a:ext>
            </a:extLst>
          </xdr:cNvPr>
          <xdr:cNvSpPr txBox="1"/>
        </xdr:nvSpPr>
        <xdr:spPr>
          <a:xfrm>
            <a:off x="3911600" y="2311400"/>
            <a:ext cx="1422400" cy="50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kumimoji="1" lang="ja-JP" altLang="en-US" sz="1100"/>
              <a:t>完了</a:t>
            </a:r>
          </a:p>
        </xdr:txBody>
      </xdr:sp>
      <xdr:cxnSp macro="">
        <xdr:nvCxnSpPr>
          <xdr:cNvPr id="27" name="直線矢印コネクタ 26">
            <a:extLst>
              <a:ext uri="{FF2B5EF4-FFF2-40B4-BE49-F238E27FC236}">
                <a16:creationId xmlns:a16="http://schemas.microsoft.com/office/drawing/2014/main" id="{32D4A26B-A4D0-D512-D526-77CFB7736015}"/>
              </a:ext>
            </a:extLst>
          </xdr:cNvPr>
          <xdr:cNvCxnSpPr>
            <a:stCxn id="19" idx="3"/>
            <a:endCxn id="20" idx="1"/>
          </xdr:cNvCxnSpPr>
        </xdr:nvCxnSpPr>
        <xdr:spPr>
          <a:xfrm>
            <a:off x="1778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直線矢印コネクタ 27">
            <a:extLst>
              <a:ext uri="{FF2B5EF4-FFF2-40B4-BE49-F238E27FC236}">
                <a16:creationId xmlns:a16="http://schemas.microsoft.com/office/drawing/2014/main" id="{E8502866-5784-C754-3BDA-3BC25CD7C68D}"/>
              </a:ext>
            </a:extLst>
          </xdr:cNvPr>
          <xdr:cNvCxnSpPr>
            <a:stCxn id="20" idx="3"/>
            <a:endCxn id="21" idx="1"/>
          </xdr:cNvCxnSpPr>
        </xdr:nvCxnSpPr>
        <xdr:spPr>
          <a:xfrm>
            <a:off x="3556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9" name="直線矢印コネクタ 28">
            <a:extLst>
              <a:ext uri="{FF2B5EF4-FFF2-40B4-BE49-F238E27FC236}">
                <a16:creationId xmlns:a16="http://schemas.microsoft.com/office/drawing/2014/main" id="{59537F3D-5B1F-A5D2-6172-4785FD1695B1}"/>
              </a:ext>
            </a:extLst>
          </xdr:cNvPr>
          <xdr:cNvCxnSpPr>
            <a:stCxn id="21" idx="3"/>
            <a:endCxn id="22" idx="1"/>
          </xdr:cNvCxnSpPr>
        </xdr:nvCxnSpPr>
        <xdr:spPr>
          <a:xfrm>
            <a:off x="5334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0" name="直線矢印コネクタ 29">
            <a:extLst>
              <a:ext uri="{FF2B5EF4-FFF2-40B4-BE49-F238E27FC236}">
                <a16:creationId xmlns:a16="http://schemas.microsoft.com/office/drawing/2014/main" id="{53893D80-1181-07BE-420B-41DA1CCEFF86}"/>
              </a:ext>
            </a:extLst>
          </xdr:cNvPr>
          <xdr:cNvCxnSpPr>
            <a:stCxn id="22" idx="3"/>
            <a:endCxn id="23" idx="1"/>
          </xdr:cNvCxnSpPr>
        </xdr:nvCxnSpPr>
        <xdr:spPr>
          <a:xfrm>
            <a:off x="7112000" y="1803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直線矢印コネクタ 30">
            <a:extLst>
              <a:ext uri="{FF2B5EF4-FFF2-40B4-BE49-F238E27FC236}">
                <a16:creationId xmlns:a16="http://schemas.microsoft.com/office/drawing/2014/main" id="{25BC3D3A-F408-8E81-BAB8-0DE5839784FC}"/>
              </a:ext>
            </a:extLst>
          </xdr:cNvPr>
          <xdr:cNvCxnSpPr>
            <a:stCxn id="24" idx="3"/>
            <a:endCxn id="25" idx="1"/>
          </xdr:cNvCxnSpPr>
        </xdr:nvCxnSpPr>
        <xdr:spPr>
          <a:xfrm>
            <a:off x="1778000" y="2565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直線矢印コネクタ 31">
            <a:extLst>
              <a:ext uri="{FF2B5EF4-FFF2-40B4-BE49-F238E27FC236}">
                <a16:creationId xmlns:a16="http://schemas.microsoft.com/office/drawing/2014/main" id="{D0F9C844-38B0-3486-9A3D-676E543CADF7}"/>
              </a:ext>
            </a:extLst>
          </xdr:cNvPr>
          <xdr:cNvCxnSpPr>
            <a:stCxn id="25" idx="3"/>
            <a:endCxn id="26" idx="1"/>
          </xdr:cNvCxnSpPr>
        </xdr:nvCxnSpPr>
        <xdr:spPr>
          <a:xfrm>
            <a:off x="3556000" y="2565400"/>
            <a:ext cx="355600" cy="0"/>
          </a:xfrm>
          <a:prstGeom prst="straightConnector1">
            <a:avLst/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カギ線コネクタ 32">
            <a:extLst>
              <a:ext uri="{FF2B5EF4-FFF2-40B4-BE49-F238E27FC236}">
                <a16:creationId xmlns:a16="http://schemas.microsoft.com/office/drawing/2014/main" id="{4A9B0FDB-8EE9-6771-ABAB-8F13716301D0}"/>
              </a:ext>
            </a:extLst>
          </xdr:cNvPr>
          <xdr:cNvCxnSpPr>
            <a:stCxn id="23" idx="3"/>
            <a:endCxn id="24" idx="1"/>
          </xdr:cNvCxnSpPr>
        </xdr:nvCxnSpPr>
        <xdr:spPr>
          <a:xfrm flipH="1">
            <a:off x="355600" y="1803400"/>
            <a:ext cx="8534400" cy="762000"/>
          </a:xfrm>
          <a:prstGeom prst="bentConnector5">
            <a:avLst>
              <a:gd name="adj1" fmla="val -2679"/>
              <a:gd name="adj2" fmla="val 50000"/>
              <a:gd name="adj3" fmla="val 102679"/>
            </a:avLst>
          </a:prstGeom>
          <a:ln w="57150">
            <a:solidFill>
              <a:schemeClr val="tx1"/>
            </a:solidFill>
            <a:tailEnd type="triangle"/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EC69B-EA98-8A46-9607-D7BE7B53FE98}">
  <dimension ref="A2:P12"/>
  <sheetViews>
    <sheetView showGridLines="0" workbookViewId="0">
      <selection activeCell="E6" sqref="E6:P6"/>
    </sheetView>
  </sheetViews>
  <sheetFormatPr baseColWidth="10" defaultColWidth="4" defaultRowHeight="20"/>
  <sheetData>
    <row r="2" spans="1:16">
      <c r="A2" s="1" t="s">
        <v>3</v>
      </c>
      <c r="B2" s="2"/>
      <c r="C2" s="2"/>
      <c r="D2" s="3"/>
      <c r="E2" s="64" t="s">
        <v>69</v>
      </c>
      <c r="F2" s="65"/>
      <c r="G2" s="65"/>
      <c r="H2" s="65"/>
      <c r="I2" s="65"/>
      <c r="J2" s="65"/>
      <c r="K2" s="65"/>
      <c r="L2" s="65"/>
      <c r="M2" s="65"/>
      <c r="N2" s="65"/>
      <c r="O2" s="65"/>
      <c r="P2" s="66"/>
    </row>
    <row r="3" spans="1:16">
      <c r="A3" s="1" t="s">
        <v>5</v>
      </c>
      <c r="B3" s="2"/>
      <c r="C3" s="2"/>
      <c r="D3" s="3"/>
      <c r="E3" s="64" t="s">
        <v>68</v>
      </c>
      <c r="F3" s="65"/>
      <c r="G3" s="65"/>
      <c r="H3" s="65"/>
      <c r="I3" s="65"/>
      <c r="J3" s="65"/>
      <c r="K3" s="65"/>
      <c r="L3" s="65"/>
      <c r="M3" s="65"/>
      <c r="N3" s="65"/>
      <c r="O3" s="65"/>
      <c r="P3" s="66"/>
    </row>
    <row r="4" spans="1:16">
      <c r="A4" s="1" t="s">
        <v>6</v>
      </c>
      <c r="B4" s="2"/>
      <c r="C4" s="2"/>
      <c r="D4" s="3"/>
      <c r="E4" s="64" t="s">
        <v>25</v>
      </c>
      <c r="F4" s="65"/>
      <c r="G4" s="65"/>
      <c r="H4" s="65"/>
      <c r="I4" s="65"/>
      <c r="J4" s="65"/>
      <c r="K4" s="65"/>
      <c r="L4" s="65"/>
      <c r="M4" s="65"/>
      <c r="N4" s="65"/>
      <c r="O4" s="65"/>
      <c r="P4" s="66"/>
    </row>
    <row r="5" spans="1:16">
      <c r="A5" s="1" t="s">
        <v>0</v>
      </c>
      <c r="B5" s="2"/>
      <c r="C5" s="2"/>
      <c r="D5" s="3"/>
      <c r="E5" s="67" t="str">
        <f>TEXT("2026/7/8","yyyy/MM/dd")</f>
        <v>2026/07/08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9"/>
    </row>
    <row r="6" spans="1:16">
      <c r="A6" s="1" t="s">
        <v>1</v>
      </c>
      <c r="B6" s="2"/>
      <c r="C6" s="2"/>
      <c r="D6" s="3"/>
      <c r="E6" s="64" t="s">
        <v>70</v>
      </c>
      <c r="F6" s="65"/>
      <c r="G6" s="65"/>
      <c r="H6" s="65"/>
      <c r="I6" s="65"/>
      <c r="J6" s="65"/>
      <c r="K6" s="65"/>
      <c r="L6" s="65"/>
      <c r="M6" s="65"/>
      <c r="N6" s="65"/>
      <c r="O6" s="65"/>
      <c r="P6" s="66"/>
    </row>
    <row r="7" spans="1:16">
      <c r="A7" s="1"/>
      <c r="B7" s="2"/>
      <c r="C7" s="2"/>
      <c r="D7" s="3"/>
      <c r="E7" s="64"/>
      <c r="F7" s="65"/>
      <c r="G7" s="65"/>
      <c r="H7" s="65"/>
      <c r="I7" s="65"/>
      <c r="J7" s="65"/>
      <c r="K7" s="65"/>
      <c r="L7" s="65"/>
      <c r="M7" s="65"/>
      <c r="N7" s="65"/>
      <c r="O7" s="65"/>
      <c r="P7" s="66"/>
    </row>
    <row r="8" spans="1:16">
      <c r="A8" s="1"/>
      <c r="B8" s="2"/>
      <c r="C8" s="2"/>
      <c r="D8" s="3"/>
      <c r="E8" s="64"/>
      <c r="F8" s="65"/>
      <c r="G8" s="65"/>
      <c r="H8" s="65"/>
      <c r="I8" s="65"/>
      <c r="J8" s="65"/>
      <c r="K8" s="65"/>
      <c r="L8" s="65"/>
      <c r="M8" s="65"/>
      <c r="N8" s="65"/>
      <c r="O8" s="65"/>
      <c r="P8" s="66"/>
    </row>
    <row r="9" spans="1:16">
      <c r="A9" s="1"/>
      <c r="B9" s="2"/>
      <c r="C9" s="2"/>
      <c r="D9" s="3"/>
      <c r="E9" s="64"/>
      <c r="F9" s="65"/>
      <c r="G9" s="65"/>
      <c r="H9" s="65"/>
      <c r="I9" s="65"/>
      <c r="J9" s="65"/>
      <c r="K9" s="65"/>
      <c r="L9" s="65"/>
      <c r="M9" s="65"/>
      <c r="N9" s="65"/>
      <c r="O9" s="65"/>
      <c r="P9" s="66"/>
    </row>
    <row r="10" spans="1:16">
      <c r="A10" s="1"/>
      <c r="B10" s="2"/>
      <c r="C10" s="2"/>
      <c r="D10" s="3"/>
      <c r="E10" s="64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6"/>
    </row>
    <row r="11" spans="1:16">
      <c r="A11" s="1"/>
      <c r="B11" s="2"/>
      <c r="C11" s="2"/>
      <c r="D11" s="3"/>
      <c r="E11" s="64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6"/>
    </row>
    <row r="12" spans="1:16">
      <c r="A12" s="1"/>
      <c r="B12" s="2"/>
      <c r="C12" s="2"/>
      <c r="D12" s="3"/>
      <c r="E12" s="64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6"/>
    </row>
  </sheetData>
  <mergeCells count="11">
    <mergeCell ref="E2:P2"/>
    <mergeCell ref="E5:P5"/>
    <mergeCell ref="E6:P6"/>
    <mergeCell ref="E7:P7"/>
    <mergeCell ref="E8:P8"/>
    <mergeCell ref="E10:P10"/>
    <mergeCell ref="E11:P11"/>
    <mergeCell ref="E12:P12"/>
    <mergeCell ref="E3:P3"/>
    <mergeCell ref="E4:P4"/>
    <mergeCell ref="E9:P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4149-1117-0E48-A0FA-B9F8503D8A40}">
  <dimension ref="C7:W21"/>
  <sheetViews>
    <sheetView showGridLines="0" zoomScaleNormal="100" workbookViewId="0"/>
  </sheetViews>
  <sheetFormatPr baseColWidth="10" defaultColWidth="4" defaultRowHeight="20"/>
  <sheetData>
    <row r="7" spans="3:23" ht="54">
      <c r="E7" s="63" t="str">
        <f>ProjectName</f>
        <v>BusinessAutomationTools</v>
      </c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</row>
    <row r="12" spans="3:23">
      <c r="C12" s="8" t="s">
        <v>5</v>
      </c>
      <c r="G12" s="62" t="str">
        <f>SystemName</f>
        <v>CSVBusinessFormatter</v>
      </c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</row>
    <row r="14" spans="3:23">
      <c r="C14" s="8" t="s">
        <v>6</v>
      </c>
      <c r="G14" s="62" t="str">
        <f>ProgramName</f>
        <v>【プログラム】</v>
      </c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</row>
    <row r="16" spans="3:23">
      <c r="C16" s="8" t="s">
        <v>22</v>
      </c>
      <c r="G16" s="62" t="str" cm="1">
        <f t="array" aca="1" ref="G16" ca="1">TEXT(INDIRECT("02_改版履歴!C"&amp;CELL("row", _xlfn.XLOOKUP(MAX(ModNoRange), ModNoRange, ModNoRange))),"0.0.0")</f>
        <v>0.1.0</v>
      </c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</row>
    <row r="18" spans="7:19">
      <c r="G18" s="4" t="s">
        <v>0</v>
      </c>
      <c r="H18" s="2"/>
      <c r="I18" s="3"/>
      <c r="J18" s="2" t="str">
        <f>TEXT(ProjectCreateDate,"yyyy年MM月dd日")</f>
        <v>2026年07月08日</v>
      </c>
      <c r="K18" s="2"/>
      <c r="L18" s="2"/>
      <c r="M18" s="2"/>
      <c r="N18" s="2"/>
      <c r="O18" s="2"/>
      <c r="P18" s="2"/>
      <c r="Q18" s="2"/>
      <c r="R18" s="2"/>
      <c r="S18" s="3"/>
    </row>
    <row r="19" spans="7:19">
      <c r="G19" s="4" t="s">
        <v>1</v>
      </c>
      <c r="H19" s="2"/>
      <c r="I19" s="3"/>
      <c r="J19" s="2" t="str">
        <f>Author</f>
        <v>Florian Seto Jose Satoshi</v>
      </c>
      <c r="K19" s="2"/>
      <c r="L19" s="2"/>
      <c r="M19" s="2"/>
      <c r="N19" s="2"/>
      <c r="O19" s="2"/>
      <c r="P19" s="2"/>
      <c r="Q19" s="2"/>
      <c r="R19" s="2"/>
      <c r="S19" s="3"/>
    </row>
    <row r="20" spans="7:19">
      <c r="G20" s="4" t="s">
        <v>24</v>
      </c>
      <c r="H20" s="2"/>
      <c r="I20" s="3"/>
      <c r="J20" s="2" t="str" cm="1">
        <f t="array" aca="1" ref="J20" ca="1">INDIRECT("02_改版履歴!F"&amp;CELL("row", _xlfn.XLOOKUP(MAX(ModNoRange), ModNoRange, ModNoRange)))</f>
        <v>2026/07/08</v>
      </c>
      <c r="K20" s="2"/>
      <c r="L20" s="2"/>
      <c r="M20" s="2"/>
      <c r="N20" s="2"/>
      <c r="O20" s="2"/>
      <c r="P20" s="2"/>
      <c r="Q20" s="2"/>
      <c r="R20" s="2"/>
      <c r="S20" s="3"/>
    </row>
    <row r="21" spans="7:19">
      <c r="G21" s="4" t="s">
        <v>2</v>
      </c>
      <c r="H21" s="2"/>
      <c r="I21" s="3"/>
      <c r="J21" s="2" t="s">
        <v>26</v>
      </c>
      <c r="K21" s="2"/>
      <c r="L21" s="2"/>
      <c r="M21" s="2"/>
      <c r="N21" s="2"/>
      <c r="O21" s="2"/>
      <c r="P21" s="2"/>
      <c r="Q21" s="2"/>
      <c r="R21" s="2"/>
      <c r="S21" s="3"/>
    </row>
  </sheetData>
  <mergeCells count="4">
    <mergeCell ref="G16:W16"/>
    <mergeCell ref="E7:U7"/>
    <mergeCell ref="G12:W12"/>
    <mergeCell ref="G14:W14"/>
  </mergeCells>
  <phoneticPr fontId="1"/>
  <pageMargins left="0.7" right="0.7" top="0.75" bottom="0.75" header="0.3" footer="0.3"/>
  <pageSetup paperSize="9" scale="73" orientation="portrait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FF48-6ADC-7546-B13A-DA9331911FFF}">
  <dimension ref="A1:AC30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3" spans="1:29" ht="21" thickBot="1"/>
    <row r="4" spans="1:29" ht="21" thickBot="1">
      <c r="A4" s="13" t="s">
        <v>9</v>
      </c>
      <c r="B4" s="34"/>
      <c r="C4" s="13" t="s">
        <v>23</v>
      </c>
      <c r="D4" s="35"/>
      <c r="E4" s="35"/>
      <c r="F4" s="13" t="s">
        <v>7</v>
      </c>
      <c r="G4" s="35"/>
      <c r="H4" s="34"/>
      <c r="I4" s="35" t="s">
        <v>10</v>
      </c>
      <c r="J4" s="35"/>
      <c r="K4" s="35"/>
      <c r="L4" s="13" t="s">
        <v>11</v>
      </c>
      <c r="M4" s="35"/>
      <c r="N4" s="35"/>
      <c r="O4" s="34"/>
      <c r="P4" s="35" t="s">
        <v>13</v>
      </c>
      <c r="Q4" s="35"/>
      <c r="R4" s="35"/>
      <c r="S4" s="35"/>
      <c r="T4" s="35"/>
      <c r="U4" s="13" t="s">
        <v>12</v>
      </c>
      <c r="V4" s="35"/>
      <c r="W4" s="35"/>
      <c r="X4" s="35"/>
      <c r="Y4" s="35"/>
      <c r="Z4" s="35"/>
      <c r="AA4" s="35"/>
      <c r="AB4" s="35"/>
      <c r="AC4" s="34"/>
    </row>
    <row r="5" spans="1:29">
      <c r="A5" s="29">
        <v>1</v>
      </c>
      <c r="B5" s="30"/>
      <c r="C5" s="31">
        <v>0.1</v>
      </c>
      <c r="D5" s="32"/>
      <c r="E5" s="32"/>
      <c r="F5" s="31" t="str">
        <f>TEXT(ProjectCreateDate,"yyyy/MM/dd")</f>
        <v>2026/07/08</v>
      </c>
      <c r="G5" s="32"/>
      <c r="H5" s="33"/>
      <c r="I5" s="32" t="str">
        <f>Author</f>
        <v>Florian Seto Jose Satoshi</v>
      </c>
      <c r="J5" s="32"/>
      <c r="K5" s="32"/>
      <c r="L5" s="31" t="s">
        <v>14</v>
      </c>
      <c r="M5" s="32"/>
      <c r="N5" s="32"/>
      <c r="O5" s="33"/>
      <c r="P5" s="32" t="s">
        <v>14</v>
      </c>
      <c r="Q5" s="32"/>
      <c r="R5" s="32"/>
      <c r="S5" s="32"/>
      <c r="T5" s="32"/>
      <c r="U5" s="31" t="s">
        <v>15</v>
      </c>
      <c r="V5" s="32"/>
      <c r="W5" s="32"/>
      <c r="X5" s="32"/>
      <c r="Y5" s="32"/>
      <c r="Z5" s="32"/>
      <c r="AA5" s="32"/>
      <c r="AB5" s="32"/>
      <c r="AC5" s="33"/>
    </row>
    <row r="6" spans="1:29">
      <c r="A6" s="25"/>
      <c r="B6" s="26"/>
      <c r="C6" s="19"/>
      <c r="D6" s="20"/>
      <c r="E6" s="20"/>
      <c r="F6" s="19"/>
      <c r="G6" s="20"/>
      <c r="H6" s="21"/>
      <c r="I6" s="20"/>
      <c r="J6" s="20"/>
      <c r="K6" s="20"/>
      <c r="L6" s="19"/>
      <c r="M6" s="20"/>
      <c r="N6" s="20"/>
      <c r="O6" s="21"/>
      <c r="P6" s="20"/>
      <c r="Q6" s="20"/>
      <c r="R6" s="20"/>
      <c r="S6" s="20"/>
      <c r="T6" s="20"/>
      <c r="U6" s="19"/>
      <c r="V6" s="20"/>
      <c r="W6" s="20"/>
      <c r="X6" s="20"/>
      <c r="Y6" s="20"/>
      <c r="Z6" s="20"/>
      <c r="AA6" s="20"/>
      <c r="AB6" s="20"/>
      <c r="AC6" s="21"/>
    </row>
    <row r="7" spans="1:29">
      <c r="A7" s="25"/>
      <c r="B7" s="26"/>
      <c r="C7" s="19"/>
      <c r="D7" s="20"/>
      <c r="E7" s="20"/>
      <c r="F7" s="19"/>
      <c r="G7" s="20"/>
      <c r="H7" s="21"/>
      <c r="I7" s="20"/>
      <c r="J7" s="20"/>
      <c r="K7" s="20"/>
      <c r="L7" s="19"/>
      <c r="M7" s="20"/>
      <c r="N7" s="20"/>
      <c r="O7" s="21"/>
      <c r="P7" s="20"/>
      <c r="Q7" s="20"/>
      <c r="R7" s="20"/>
      <c r="S7" s="20"/>
      <c r="T7" s="20"/>
      <c r="U7" s="19"/>
      <c r="V7" s="20"/>
      <c r="W7" s="20"/>
      <c r="X7" s="20"/>
      <c r="Y7" s="20"/>
      <c r="Z7" s="20"/>
      <c r="AA7" s="20"/>
      <c r="AB7" s="20"/>
      <c r="AC7" s="21"/>
    </row>
    <row r="8" spans="1:29">
      <c r="A8" s="25"/>
      <c r="B8" s="26"/>
      <c r="C8" s="19"/>
      <c r="D8" s="20"/>
      <c r="E8" s="20"/>
      <c r="F8" s="19"/>
      <c r="G8" s="20"/>
      <c r="H8" s="21"/>
      <c r="I8" s="20"/>
      <c r="J8" s="20"/>
      <c r="K8" s="20"/>
      <c r="L8" s="19"/>
      <c r="M8" s="20"/>
      <c r="N8" s="20"/>
      <c r="O8" s="21"/>
      <c r="P8" s="20"/>
      <c r="Q8" s="20"/>
      <c r="R8" s="20"/>
      <c r="S8" s="20"/>
      <c r="T8" s="20"/>
      <c r="U8" s="19"/>
      <c r="V8" s="20"/>
      <c r="W8" s="20"/>
      <c r="X8" s="20"/>
      <c r="Y8" s="20"/>
      <c r="Z8" s="20"/>
      <c r="AA8" s="20"/>
      <c r="AB8" s="20"/>
      <c r="AC8" s="21"/>
    </row>
    <row r="9" spans="1:29">
      <c r="A9" s="25"/>
      <c r="B9" s="26"/>
      <c r="C9" s="19"/>
      <c r="D9" s="20"/>
      <c r="E9" s="20"/>
      <c r="F9" s="19"/>
      <c r="G9" s="20"/>
      <c r="H9" s="21"/>
      <c r="I9" s="20"/>
      <c r="J9" s="20"/>
      <c r="K9" s="20"/>
      <c r="L9" s="19"/>
      <c r="M9" s="20"/>
      <c r="N9" s="20"/>
      <c r="O9" s="21"/>
      <c r="P9" s="20"/>
      <c r="Q9" s="20"/>
      <c r="R9" s="20"/>
      <c r="S9" s="20"/>
      <c r="T9" s="20"/>
      <c r="U9" s="19"/>
      <c r="V9" s="20"/>
      <c r="W9" s="20"/>
      <c r="X9" s="20"/>
      <c r="Y9" s="20"/>
      <c r="Z9" s="20"/>
      <c r="AA9" s="20"/>
      <c r="AB9" s="20"/>
      <c r="AC9" s="21"/>
    </row>
    <row r="10" spans="1:29">
      <c r="A10" s="25"/>
      <c r="B10" s="26"/>
      <c r="C10" s="19"/>
      <c r="D10" s="20"/>
      <c r="E10" s="20"/>
      <c r="F10" s="19"/>
      <c r="G10" s="20"/>
      <c r="H10" s="21"/>
      <c r="I10" s="20"/>
      <c r="J10" s="20"/>
      <c r="K10" s="20"/>
      <c r="L10" s="19"/>
      <c r="M10" s="20"/>
      <c r="N10" s="20"/>
      <c r="O10" s="21"/>
      <c r="P10" s="20"/>
      <c r="Q10" s="20"/>
      <c r="R10" s="20"/>
      <c r="S10" s="20"/>
      <c r="T10" s="20"/>
      <c r="U10" s="19"/>
      <c r="V10" s="20"/>
      <c r="W10" s="20"/>
      <c r="X10" s="20"/>
      <c r="Y10" s="20"/>
      <c r="Z10" s="20"/>
      <c r="AA10" s="20"/>
      <c r="AB10" s="20"/>
      <c r="AC10" s="21"/>
    </row>
    <row r="11" spans="1:29">
      <c r="A11" s="25"/>
      <c r="B11" s="26"/>
      <c r="C11" s="19"/>
      <c r="D11" s="20"/>
      <c r="E11" s="20"/>
      <c r="F11" s="19"/>
      <c r="G11" s="20"/>
      <c r="H11" s="21"/>
      <c r="I11" s="20"/>
      <c r="J11" s="20"/>
      <c r="K11" s="20"/>
      <c r="L11" s="19"/>
      <c r="M11" s="20"/>
      <c r="N11" s="20"/>
      <c r="O11" s="21"/>
      <c r="P11" s="20"/>
      <c r="Q11" s="20"/>
      <c r="R11" s="20"/>
      <c r="S11" s="20"/>
      <c r="T11" s="20"/>
      <c r="U11" s="19"/>
      <c r="V11" s="20"/>
      <c r="W11" s="20"/>
      <c r="X11" s="20"/>
      <c r="Y11" s="20"/>
      <c r="Z11" s="20"/>
      <c r="AA11" s="20"/>
      <c r="AB11" s="20"/>
      <c r="AC11" s="21"/>
    </row>
    <row r="12" spans="1:29">
      <c r="A12" s="25"/>
      <c r="B12" s="26"/>
      <c r="C12" s="19"/>
      <c r="D12" s="20"/>
      <c r="E12" s="20"/>
      <c r="F12" s="19"/>
      <c r="G12" s="20"/>
      <c r="H12" s="21"/>
      <c r="I12" s="20"/>
      <c r="J12" s="20"/>
      <c r="K12" s="20"/>
      <c r="L12" s="19"/>
      <c r="M12" s="20"/>
      <c r="N12" s="20"/>
      <c r="O12" s="21"/>
      <c r="P12" s="20"/>
      <c r="Q12" s="20"/>
      <c r="R12" s="20"/>
      <c r="S12" s="20"/>
      <c r="T12" s="20"/>
      <c r="U12" s="19"/>
      <c r="V12" s="20"/>
      <c r="W12" s="20"/>
      <c r="X12" s="20"/>
      <c r="Y12" s="20"/>
      <c r="Z12" s="20"/>
      <c r="AA12" s="20"/>
      <c r="AB12" s="20"/>
      <c r="AC12" s="21"/>
    </row>
    <row r="13" spans="1:29">
      <c r="A13" s="25"/>
      <c r="B13" s="26"/>
      <c r="C13" s="19"/>
      <c r="D13" s="20"/>
      <c r="E13" s="20"/>
      <c r="F13" s="19"/>
      <c r="G13" s="20"/>
      <c r="H13" s="21"/>
      <c r="I13" s="20"/>
      <c r="J13" s="20"/>
      <c r="K13" s="20"/>
      <c r="L13" s="19"/>
      <c r="M13" s="20"/>
      <c r="N13" s="20"/>
      <c r="O13" s="21"/>
      <c r="P13" s="20"/>
      <c r="Q13" s="20"/>
      <c r="R13" s="20"/>
      <c r="S13" s="20"/>
      <c r="T13" s="20"/>
      <c r="U13" s="19"/>
      <c r="V13" s="20"/>
      <c r="W13" s="20"/>
      <c r="X13" s="20"/>
      <c r="Y13" s="20"/>
      <c r="Z13" s="20"/>
      <c r="AA13" s="20"/>
      <c r="AB13" s="20"/>
      <c r="AC13" s="21"/>
    </row>
    <row r="14" spans="1:29">
      <c r="A14" s="25"/>
      <c r="B14" s="26"/>
      <c r="C14" s="19"/>
      <c r="D14" s="20"/>
      <c r="E14" s="20"/>
      <c r="F14" s="19"/>
      <c r="G14" s="20"/>
      <c r="H14" s="21"/>
      <c r="I14" s="20"/>
      <c r="J14" s="20"/>
      <c r="K14" s="20"/>
      <c r="L14" s="19"/>
      <c r="M14" s="20"/>
      <c r="N14" s="20"/>
      <c r="O14" s="21"/>
      <c r="P14" s="20"/>
      <c r="Q14" s="20"/>
      <c r="R14" s="20"/>
      <c r="S14" s="20"/>
      <c r="T14" s="20"/>
      <c r="U14" s="19"/>
      <c r="V14" s="20"/>
      <c r="W14" s="20"/>
      <c r="X14" s="20"/>
      <c r="Y14" s="20"/>
      <c r="Z14" s="20"/>
      <c r="AA14" s="20"/>
      <c r="AB14" s="20"/>
      <c r="AC14" s="21"/>
    </row>
    <row r="15" spans="1:29">
      <c r="A15" s="25"/>
      <c r="B15" s="26"/>
      <c r="C15" s="19"/>
      <c r="D15" s="20"/>
      <c r="E15" s="20"/>
      <c r="F15" s="19"/>
      <c r="G15" s="20"/>
      <c r="H15" s="21"/>
      <c r="I15" s="20"/>
      <c r="J15" s="20"/>
      <c r="K15" s="20"/>
      <c r="L15" s="19"/>
      <c r="M15" s="20"/>
      <c r="N15" s="20"/>
      <c r="O15" s="21"/>
      <c r="P15" s="20"/>
      <c r="Q15" s="20"/>
      <c r="R15" s="20"/>
      <c r="S15" s="20"/>
      <c r="T15" s="20"/>
      <c r="U15" s="19"/>
      <c r="V15" s="20"/>
      <c r="W15" s="20"/>
      <c r="X15" s="20"/>
      <c r="Y15" s="20"/>
      <c r="Z15" s="20"/>
      <c r="AA15" s="20"/>
      <c r="AB15" s="20"/>
      <c r="AC15" s="21"/>
    </row>
    <row r="16" spans="1:29">
      <c r="A16" s="25"/>
      <c r="B16" s="26"/>
      <c r="C16" s="19"/>
      <c r="D16" s="20"/>
      <c r="E16" s="20"/>
      <c r="F16" s="19"/>
      <c r="G16" s="20"/>
      <c r="H16" s="21"/>
      <c r="I16" s="20"/>
      <c r="J16" s="20"/>
      <c r="K16" s="20"/>
      <c r="L16" s="19"/>
      <c r="M16" s="20"/>
      <c r="N16" s="20"/>
      <c r="O16" s="21"/>
      <c r="P16" s="20"/>
      <c r="Q16" s="20"/>
      <c r="R16" s="20"/>
      <c r="S16" s="20"/>
      <c r="T16" s="20"/>
      <c r="U16" s="19"/>
      <c r="V16" s="20"/>
      <c r="W16" s="20"/>
      <c r="X16" s="20"/>
      <c r="Y16" s="20"/>
      <c r="Z16" s="20"/>
      <c r="AA16" s="20"/>
      <c r="AB16" s="20"/>
      <c r="AC16" s="21"/>
    </row>
    <row r="17" spans="1:29">
      <c r="A17" s="25"/>
      <c r="B17" s="26"/>
      <c r="C17" s="19"/>
      <c r="D17" s="20"/>
      <c r="E17" s="20"/>
      <c r="F17" s="19"/>
      <c r="G17" s="20"/>
      <c r="H17" s="21"/>
      <c r="I17" s="20"/>
      <c r="J17" s="20"/>
      <c r="K17" s="20"/>
      <c r="L17" s="19"/>
      <c r="M17" s="20"/>
      <c r="N17" s="20"/>
      <c r="O17" s="21"/>
      <c r="P17" s="20"/>
      <c r="Q17" s="20"/>
      <c r="R17" s="20"/>
      <c r="S17" s="20"/>
      <c r="T17" s="20"/>
      <c r="U17" s="19"/>
      <c r="V17" s="20"/>
      <c r="W17" s="20"/>
      <c r="X17" s="20"/>
      <c r="Y17" s="20"/>
      <c r="Z17" s="20"/>
      <c r="AA17" s="20"/>
      <c r="AB17" s="20"/>
      <c r="AC17" s="21"/>
    </row>
    <row r="18" spans="1:29">
      <c r="A18" s="25"/>
      <c r="B18" s="26"/>
      <c r="C18" s="19"/>
      <c r="D18" s="20"/>
      <c r="E18" s="20"/>
      <c r="F18" s="19"/>
      <c r="G18" s="20"/>
      <c r="H18" s="21"/>
      <c r="I18" s="20"/>
      <c r="J18" s="20"/>
      <c r="K18" s="20"/>
      <c r="L18" s="19"/>
      <c r="M18" s="20"/>
      <c r="N18" s="20"/>
      <c r="O18" s="21"/>
      <c r="P18" s="20"/>
      <c r="Q18" s="20"/>
      <c r="R18" s="20"/>
      <c r="S18" s="20"/>
      <c r="T18" s="20"/>
      <c r="U18" s="19"/>
      <c r="V18" s="20"/>
      <c r="W18" s="20"/>
      <c r="X18" s="20"/>
      <c r="Y18" s="20"/>
      <c r="Z18" s="20"/>
      <c r="AA18" s="20"/>
      <c r="AB18" s="20"/>
      <c r="AC18" s="21"/>
    </row>
    <row r="19" spans="1:29">
      <c r="A19" s="25"/>
      <c r="B19" s="26"/>
      <c r="C19" s="19"/>
      <c r="D19" s="20"/>
      <c r="E19" s="20"/>
      <c r="F19" s="19"/>
      <c r="G19" s="20"/>
      <c r="H19" s="21"/>
      <c r="I19" s="20"/>
      <c r="J19" s="20"/>
      <c r="K19" s="20"/>
      <c r="L19" s="19"/>
      <c r="M19" s="20"/>
      <c r="N19" s="20"/>
      <c r="O19" s="21"/>
      <c r="P19" s="20"/>
      <c r="Q19" s="20"/>
      <c r="R19" s="20"/>
      <c r="S19" s="20"/>
      <c r="T19" s="20"/>
      <c r="U19" s="19"/>
      <c r="V19" s="20"/>
      <c r="W19" s="20"/>
      <c r="X19" s="20"/>
      <c r="Y19" s="20"/>
      <c r="Z19" s="20"/>
      <c r="AA19" s="20"/>
      <c r="AB19" s="20"/>
      <c r="AC19" s="21"/>
    </row>
    <row r="20" spans="1:29">
      <c r="A20" s="25"/>
      <c r="B20" s="26"/>
      <c r="C20" s="19"/>
      <c r="D20" s="20"/>
      <c r="E20" s="20"/>
      <c r="F20" s="19"/>
      <c r="G20" s="20"/>
      <c r="H20" s="21"/>
      <c r="I20" s="20"/>
      <c r="J20" s="20"/>
      <c r="K20" s="20"/>
      <c r="L20" s="19"/>
      <c r="M20" s="20"/>
      <c r="N20" s="20"/>
      <c r="O20" s="21"/>
      <c r="P20" s="20"/>
      <c r="Q20" s="20"/>
      <c r="R20" s="20"/>
      <c r="S20" s="20"/>
      <c r="T20" s="20"/>
      <c r="U20" s="19"/>
      <c r="V20" s="20"/>
      <c r="W20" s="20"/>
      <c r="X20" s="20"/>
      <c r="Y20" s="20"/>
      <c r="Z20" s="20"/>
      <c r="AA20" s="20"/>
      <c r="AB20" s="20"/>
      <c r="AC20" s="21"/>
    </row>
    <row r="21" spans="1:29">
      <c r="A21" s="25"/>
      <c r="B21" s="26"/>
      <c r="C21" s="19"/>
      <c r="D21" s="20"/>
      <c r="E21" s="20"/>
      <c r="F21" s="19"/>
      <c r="G21" s="20"/>
      <c r="H21" s="21"/>
      <c r="I21" s="20"/>
      <c r="J21" s="20"/>
      <c r="K21" s="20"/>
      <c r="L21" s="19"/>
      <c r="M21" s="20"/>
      <c r="N21" s="20"/>
      <c r="O21" s="21"/>
      <c r="P21" s="20"/>
      <c r="Q21" s="20"/>
      <c r="R21" s="20"/>
      <c r="S21" s="20"/>
      <c r="T21" s="20"/>
      <c r="U21" s="19"/>
      <c r="V21" s="20"/>
      <c r="W21" s="20"/>
      <c r="X21" s="20"/>
      <c r="Y21" s="20"/>
      <c r="Z21" s="20"/>
      <c r="AA21" s="20"/>
      <c r="AB21" s="20"/>
      <c r="AC21" s="21"/>
    </row>
    <row r="22" spans="1:29">
      <c r="A22" s="25"/>
      <c r="B22" s="26"/>
      <c r="C22" s="19"/>
      <c r="D22" s="20"/>
      <c r="E22" s="20"/>
      <c r="F22" s="19"/>
      <c r="G22" s="20"/>
      <c r="H22" s="21"/>
      <c r="I22" s="20"/>
      <c r="J22" s="20"/>
      <c r="K22" s="20"/>
      <c r="L22" s="19"/>
      <c r="M22" s="20"/>
      <c r="N22" s="20"/>
      <c r="O22" s="21"/>
      <c r="P22" s="20"/>
      <c r="Q22" s="20"/>
      <c r="R22" s="20"/>
      <c r="S22" s="20"/>
      <c r="T22" s="20"/>
      <c r="U22" s="19"/>
      <c r="V22" s="20"/>
      <c r="W22" s="20"/>
      <c r="X22" s="20"/>
      <c r="Y22" s="20"/>
      <c r="Z22" s="20"/>
      <c r="AA22" s="20"/>
      <c r="AB22" s="20"/>
      <c r="AC22" s="21"/>
    </row>
    <row r="23" spans="1:29">
      <c r="A23" s="25"/>
      <c r="B23" s="26"/>
      <c r="C23" s="19"/>
      <c r="D23" s="20"/>
      <c r="E23" s="20"/>
      <c r="F23" s="19"/>
      <c r="G23" s="20"/>
      <c r="H23" s="21"/>
      <c r="I23" s="20"/>
      <c r="J23" s="20"/>
      <c r="K23" s="20"/>
      <c r="L23" s="19"/>
      <c r="M23" s="20"/>
      <c r="N23" s="20"/>
      <c r="O23" s="21"/>
      <c r="P23" s="20"/>
      <c r="Q23" s="20"/>
      <c r="R23" s="20"/>
      <c r="S23" s="20"/>
      <c r="T23" s="20"/>
      <c r="U23" s="19"/>
      <c r="V23" s="20"/>
      <c r="W23" s="20"/>
      <c r="X23" s="20"/>
      <c r="Y23" s="20"/>
      <c r="Z23" s="20"/>
      <c r="AA23" s="20"/>
      <c r="AB23" s="20"/>
      <c r="AC23" s="21"/>
    </row>
    <row r="24" spans="1:29">
      <c r="A24" s="25"/>
      <c r="B24" s="26"/>
      <c r="C24" s="19"/>
      <c r="D24" s="20"/>
      <c r="E24" s="20"/>
      <c r="F24" s="19"/>
      <c r="G24" s="20"/>
      <c r="H24" s="21"/>
      <c r="I24" s="20"/>
      <c r="J24" s="20"/>
      <c r="K24" s="20"/>
      <c r="L24" s="19"/>
      <c r="M24" s="20"/>
      <c r="N24" s="20"/>
      <c r="O24" s="21"/>
      <c r="P24" s="20"/>
      <c r="Q24" s="20"/>
      <c r="R24" s="20"/>
      <c r="S24" s="20"/>
      <c r="T24" s="20"/>
      <c r="U24" s="19"/>
      <c r="V24" s="20"/>
      <c r="W24" s="20"/>
      <c r="X24" s="20"/>
      <c r="Y24" s="20"/>
      <c r="Z24" s="20"/>
      <c r="AA24" s="20"/>
      <c r="AB24" s="20"/>
      <c r="AC24" s="21"/>
    </row>
    <row r="25" spans="1:29">
      <c r="A25" s="25"/>
      <c r="B25" s="26"/>
      <c r="C25" s="19"/>
      <c r="D25" s="20"/>
      <c r="E25" s="20"/>
      <c r="F25" s="19"/>
      <c r="G25" s="20"/>
      <c r="H25" s="21"/>
      <c r="I25" s="20"/>
      <c r="J25" s="20"/>
      <c r="K25" s="20"/>
      <c r="L25" s="19"/>
      <c r="M25" s="20"/>
      <c r="N25" s="20"/>
      <c r="O25" s="21"/>
      <c r="P25" s="20"/>
      <c r="Q25" s="20"/>
      <c r="R25" s="20"/>
      <c r="S25" s="20"/>
      <c r="T25" s="20"/>
      <c r="U25" s="19"/>
      <c r="V25" s="20"/>
      <c r="W25" s="20"/>
      <c r="X25" s="20"/>
      <c r="Y25" s="20"/>
      <c r="Z25" s="20"/>
      <c r="AA25" s="20"/>
      <c r="AB25" s="20"/>
      <c r="AC25" s="21"/>
    </row>
    <row r="26" spans="1:29">
      <c r="A26" s="25"/>
      <c r="B26" s="26"/>
      <c r="C26" s="19"/>
      <c r="D26" s="20"/>
      <c r="E26" s="20"/>
      <c r="F26" s="19"/>
      <c r="G26" s="20"/>
      <c r="H26" s="21"/>
      <c r="I26" s="20"/>
      <c r="J26" s="20"/>
      <c r="K26" s="20"/>
      <c r="L26" s="19"/>
      <c r="M26" s="20"/>
      <c r="N26" s="20"/>
      <c r="O26" s="21"/>
      <c r="P26" s="20"/>
      <c r="Q26" s="20"/>
      <c r="R26" s="20"/>
      <c r="S26" s="20"/>
      <c r="T26" s="20"/>
      <c r="U26" s="19"/>
      <c r="V26" s="20"/>
      <c r="W26" s="20"/>
      <c r="X26" s="20"/>
      <c r="Y26" s="20"/>
      <c r="Z26" s="20"/>
      <c r="AA26" s="20"/>
      <c r="AB26" s="20"/>
      <c r="AC26" s="21"/>
    </row>
    <row r="27" spans="1:29">
      <c r="A27" s="25"/>
      <c r="B27" s="26"/>
      <c r="C27" s="19"/>
      <c r="D27" s="20"/>
      <c r="E27" s="20"/>
      <c r="F27" s="19"/>
      <c r="G27" s="20"/>
      <c r="H27" s="21"/>
      <c r="I27" s="20"/>
      <c r="J27" s="20"/>
      <c r="K27" s="20"/>
      <c r="L27" s="19"/>
      <c r="M27" s="20"/>
      <c r="N27" s="20"/>
      <c r="O27" s="21"/>
      <c r="P27" s="20"/>
      <c r="Q27" s="20"/>
      <c r="R27" s="20"/>
      <c r="S27" s="20"/>
      <c r="T27" s="20"/>
      <c r="U27" s="19"/>
      <c r="V27" s="20"/>
      <c r="W27" s="20"/>
      <c r="X27" s="20"/>
      <c r="Y27" s="20"/>
      <c r="Z27" s="20"/>
      <c r="AA27" s="20"/>
      <c r="AB27" s="20"/>
      <c r="AC27" s="21"/>
    </row>
    <row r="28" spans="1:29">
      <c r="A28" s="25"/>
      <c r="B28" s="26"/>
      <c r="C28" s="19"/>
      <c r="D28" s="20"/>
      <c r="E28" s="20"/>
      <c r="F28" s="19"/>
      <c r="G28" s="20"/>
      <c r="H28" s="21"/>
      <c r="I28" s="20"/>
      <c r="J28" s="20"/>
      <c r="K28" s="20"/>
      <c r="L28" s="19"/>
      <c r="M28" s="20"/>
      <c r="N28" s="20"/>
      <c r="O28" s="21"/>
      <c r="P28" s="20"/>
      <c r="Q28" s="20"/>
      <c r="R28" s="20"/>
      <c r="S28" s="20"/>
      <c r="T28" s="20"/>
      <c r="U28" s="19"/>
      <c r="V28" s="20"/>
      <c r="W28" s="20"/>
      <c r="X28" s="20"/>
      <c r="Y28" s="20"/>
      <c r="Z28" s="20"/>
      <c r="AA28" s="20"/>
      <c r="AB28" s="20"/>
      <c r="AC28" s="21"/>
    </row>
    <row r="29" spans="1:29">
      <c r="A29" s="25"/>
      <c r="B29" s="26"/>
      <c r="C29" s="19"/>
      <c r="D29" s="20"/>
      <c r="E29" s="20"/>
      <c r="F29" s="19"/>
      <c r="G29" s="20"/>
      <c r="H29" s="21"/>
      <c r="I29" s="20"/>
      <c r="J29" s="20"/>
      <c r="K29" s="20"/>
      <c r="L29" s="19"/>
      <c r="M29" s="20"/>
      <c r="N29" s="20"/>
      <c r="O29" s="21"/>
      <c r="P29" s="20"/>
      <c r="Q29" s="20"/>
      <c r="R29" s="20"/>
      <c r="S29" s="20"/>
      <c r="T29" s="20"/>
      <c r="U29" s="19"/>
      <c r="V29" s="20"/>
      <c r="W29" s="20"/>
      <c r="X29" s="20"/>
      <c r="Y29" s="20"/>
      <c r="Z29" s="20"/>
      <c r="AA29" s="20"/>
      <c r="AB29" s="20"/>
      <c r="AC29" s="21"/>
    </row>
    <row r="30" spans="1:29" ht="21" thickBot="1">
      <c r="A30" s="27"/>
      <c r="B30" s="28"/>
      <c r="C30" s="22"/>
      <c r="D30" s="23"/>
      <c r="E30" s="23"/>
      <c r="F30" s="22"/>
      <c r="G30" s="23"/>
      <c r="H30" s="24"/>
      <c r="I30" s="23"/>
      <c r="J30" s="23"/>
      <c r="K30" s="23"/>
      <c r="L30" s="22"/>
      <c r="M30" s="23"/>
      <c r="N30" s="23"/>
      <c r="O30" s="24"/>
      <c r="P30" s="23"/>
      <c r="Q30" s="23"/>
      <c r="R30" s="23"/>
      <c r="S30" s="23"/>
      <c r="T30" s="23"/>
      <c r="U30" s="22"/>
      <c r="V30" s="23"/>
      <c r="W30" s="23"/>
      <c r="X30" s="23"/>
      <c r="Y30" s="23"/>
      <c r="Z30" s="23"/>
      <c r="AA30" s="23"/>
      <c r="AB30" s="23"/>
      <c r="AC30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F9E76-DB0E-DA45-B74F-11D5C5B49F0A}">
  <dimension ref="A1:AC35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>
      <c r="A4" s="8" t="s">
        <v>27</v>
      </c>
    </row>
    <row r="5" spans="1:29">
      <c r="A5" s="39" t="s">
        <v>17</v>
      </c>
      <c r="B5" t="s">
        <v>71</v>
      </c>
    </row>
    <row r="6" spans="1:29">
      <c r="A6" s="39"/>
      <c r="B6" t="s">
        <v>72</v>
      </c>
    </row>
    <row r="8" spans="1:29">
      <c r="A8" s="8" t="s">
        <v>16</v>
      </c>
    </row>
    <row r="9" spans="1:29">
      <c r="A9" s="39" t="s">
        <v>17</v>
      </c>
      <c r="B9" t="s">
        <v>94</v>
      </c>
    </row>
    <row r="11" spans="1:29">
      <c r="A11" s="8" t="s">
        <v>18</v>
      </c>
    </row>
    <row r="12" spans="1:29">
      <c r="A12" s="39" t="s">
        <v>17</v>
      </c>
      <c r="B12" t="s">
        <v>73</v>
      </c>
    </row>
    <row r="13" spans="1:29">
      <c r="A13" s="39" t="s">
        <v>17</v>
      </c>
      <c r="B13" t="s">
        <v>74</v>
      </c>
    </row>
    <row r="14" spans="1:29">
      <c r="A14" s="39" t="s">
        <v>17</v>
      </c>
      <c r="B14" t="s">
        <v>75</v>
      </c>
    </row>
    <row r="15" spans="1:29">
      <c r="A15" s="39" t="s">
        <v>17</v>
      </c>
      <c r="B15" t="s">
        <v>76</v>
      </c>
    </row>
    <row r="16" spans="1:29">
      <c r="A16" s="39" t="s">
        <v>17</v>
      </c>
      <c r="B16" t="s">
        <v>77</v>
      </c>
    </row>
    <row r="17" spans="1:2">
      <c r="A17" s="39" t="s">
        <v>17</v>
      </c>
      <c r="B17" t="s">
        <v>78</v>
      </c>
    </row>
    <row r="19" spans="1:2">
      <c r="A19" s="8" t="s">
        <v>28</v>
      </c>
    </row>
    <row r="20" spans="1:2">
      <c r="A20" s="39" t="s">
        <v>17</v>
      </c>
      <c r="B20" t="s">
        <v>79</v>
      </c>
    </row>
    <row r="21" spans="1:2">
      <c r="A21" s="39" t="s">
        <v>17</v>
      </c>
      <c r="B21" t="s">
        <v>80</v>
      </c>
    </row>
    <row r="22" spans="1:2">
      <c r="A22" s="39" t="s">
        <v>17</v>
      </c>
      <c r="B22" t="s">
        <v>81</v>
      </c>
    </row>
    <row r="23" spans="1:2">
      <c r="A23" s="39" t="s">
        <v>17</v>
      </c>
      <c r="B23" t="s">
        <v>82</v>
      </c>
    </row>
    <row r="24" spans="1:2">
      <c r="A24" s="39" t="s">
        <v>17</v>
      </c>
      <c r="B24" t="s">
        <v>83</v>
      </c>
    </row>
    <row r="25" spans="1:2">
      <c r="A25" s="39" t="s">
        <v>17</v>
      </c>
      <c r="B25" t="s">
        <v>84</v>
      </c>
    </row>
    <row r="27" spans="1:2">
      <c r="A27" s="8" t="s">
        <v>29</v>
      </c>
    </row>
    <row r="28" spans="1:2">
      <c r="A28" s="39" t="s">
        <v>17</v>
      </c>
      <c r="B28" t="s">
        <v>85</v>
      </c>
    </row>
    <row r="29" spans="1:2">
      <c r="A29" s="39" t="s">
        <v>17</v>
      </c>
      <c r="B29" t="s">
        <v>86</v>
      </c>
    </row>
    <row r="30" spans="1:2">
      <c r="A30" s="39" t="s">
        <v>17</v>
      </c>
      <c r="B30" t="s">
        <v>87</v>
      </c>
    </row>
    <row r="31" spans="1:2">
      <c r="A31" s="39" t="s">
        <v>17</v>
      </c>
      <c r="B31" t="s">
        <v>88</v>
      </c>
    </row>
    <row r="32" spans="1:2">
      <c r="A32" s="39" t="s">
        <v>17</v>
      </c>
      <c r="B32" t="s">
        <v>89</v>
      </c>
    </row>
    <row r="33" spans="1:2">
      <c r="A33" s="39" t="s">
        <v>17</v>
      </c>
      <c r="B33" t="s">
        <v>90</v>
      </c>
    </row>
    <row r="34" spans="1:2">
      <c r="A34" s="39" t="s">
        <v>17</v>
      </c>
      <c r="B34" t="s">
        <v>91</v>
      </c>
    </row>
    <row r="35" spans="1:2">
      <c r="A35" s="39" t="s">
        <v>17</v>
      </c>
      <c r="B35" t="s">
        <v>92</v>
      </c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56457-1539-C64C-B35C-81993878239B}">
  <dimension ref="A1:AC18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>
      <c r="A4" s="8" t="s">
        <v>93</v>
      </c>
    </row>
    <row r="5" spans="1:29">
      <c r="A5" s="8"/>
      <c r="B5" t="s">
        <v>95</v>
      </c>
    </row>
    <row r="6" spans="1:29">
      <c r="B6" s="40"/>
    </row>
    <row r="7" spans="1:29">
      <c r="B7" s="40"/>
    </row>
    <row r="8" spans="1:29">
      <c r="B8" s="40"/>
    </row>
    <row r="9" spans="1:29">
      <c r="B9" s="40"/>
    </row>
    <row r="10" spans="1:29">
      <c r="B10" s="40"/>
    </row>
    <row r="11" spans="1:29">
      <c r="B11" s="40"/>
    </row>
    <row r="12" spans="1:29">
      <c r="B12" s="40"/>
    </row>
    <row r="13" spans="1:29">
      <c r="B13" s="40"/>
    </row>
    <row r="14" spans="1:29">
      <c r="B14" s="40"/>
    </row>
    <row r="15" spans="1:29">
      <c r="B15" s="40"/>
    </row>
    <row r="16" spans="1:29">
      <c r="B16" s="40"/>
    </row>
    <row r="17" spans="2:2">
      <c r="B17" s="40"/>
    </row>
    <row r="18" spans="2:2">
      <c r="B18" s="39"/>
    </row>
  </sheetData>
  <mergeCells count="2">
    <mergeCell ref="A1:C1"/>
    <mergeCell ref="A2:C2"/>
  </mergeCells>
  <phoneticPr fontId="1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6D768-0064-3B4E-8246-20FA62D3418F}">
  <dimension ref="A1:AC17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 ht="21" thickBot="1">
      <c r="A4" s="8" t="s">
        <v>30</v>
      </c>
      <c r="B4" s="8"/>
    </row>
    <row r="5" spans="1:29" ht="21" thickBot="1">
      <c r="A5" s="49" t="s">
        <v>113</v>
      </c>
      <c r="B5" s="45"/>
      <c r="C5" s="38" t="s">
        <v>32</v>
      </c>
      <c r="D5" s="14"/>
      <c r="E5" s="14"/>
      <c r="F5" s="14"/>
      <c r="G5" s="14"/>
      <c r="H5" s="45"/>
      <c r="I5" s="14"/>
      <c r="J5" s="14"/>
      <c r="K5" s="14"/>
      <c r="L5" s="15"/>
      <c r="M5" s="38" t="s">
        <v>31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  <c r="AA5" s="14" t="s">
        <v>20</v>
      </c>
      <c r="AB5" s="14"/>
      <c r="AC5" s="15"/>
    </row>
    <row r="6" spans="1:29">
      <c r="A6" s="46" t="s">
        <v>96</v>
      </c>
      <c r="B6" s="32"/>
      <c r="C6" s="31" t="s">
        <v>98</v>
      </c>
      <c r="D6" s="32"/>
      <c r="E6" s="32"/>
      <c r="F6" s="32"/>
      <c r="G6" s="32"/>
      <c r="H6" s="32"/>
      <c r="I6" s="32"/>
      <c r="J6" s="32"/>
      <c r="K6" s="32"/>
      <c r="L6" s="33"/>
      <c r="M6" s="31" t="s">
        <v>106</v>
      </c>
      <c r="N6" s="32"/>
      <c r="O6" s="32"/>
      <c r="P6" s="42"/>
      <c r="Q6" s="32"/>
      <c r="R6" s="32"/>
      <c r="S6" s="32"/>
      <c r="T6" s="32"/>
      <c r="U6" s="32"/>
      <c r="V6" s="32"/>
      <c r="W6" s="32"/>
      <c r="X6" s="32"/>
      <c r="Y6" s="32"/>
      <c r="Z6" s="33"/>
      <c r="AA6" s="32"/>
      <c r="AB6" s="32" t="s">
        <v>111</v>
      </c>
      <c r="AC6" s="33"/>
    </row>
    <row r="7" spans="1:29">
      <c r="A7" s="47" t="s">
        <v>97</v>
      </c>
      <c r="B7" s="20"/>
      <c r="C7" s="19" t="s">
        <v>99</v>
      </c>
      <c r="D7" s="20"/>
      <c r="E7" s="20"/>
      <c r="F7" s="20"/>
      <c r="G7" s="20"/>
      <c r="H7" s="20"/>
      <c r="I7" s="20"/>
      <c r="J7" s="20"/>
      <c r="K7" s="20"/>
      <c r="L7" s="21"/>
      <c r="M7" s="19" t="s">
        <v>107</v>
      </c>
      <c r="N7" s="20"/>
      <c r="O7" s="20"/>
      <c r="P7" s="41"/>
      <c r="Q7" s="20"/>
      <c r="R7" s="20"/>
      <c r="S7" s="20"/>
      <c r="T7" s="20"/>
      <c r="U7" s="20"/>
      <c r="V7" s="20"/>
      <c r="W7" s="20"/>
      <c r="X7" s="20"/>
      <c r="Y7" s="20"/>
      <c r="Z7" s="21"/>
      <c r="AA7" s="20"/>
      <c r="AB7" s="32" t="s">
        <v>111</v>
      </c>
      <c r="AC7" s="21"/>
    </row>
    <row r="8" spans="1:29">
      <c r="A8" s="47" t="s">
        <v>103</v>
      </c>
      <c r="B8" s="20"/>
      <c r="C8" s="19" t="s">
        <v>100</v>
      </c>
      <c r="D8" s="20"/>
      <c r="E8" s="20"/>
      <c r="F8" s="20"/>
      <c r="G8" s="20"/>
      <c r="H8" s="20"/>
      <c r="I8" s="20"/>
      <c r="J8" s="20"/>
      <c r="K8" s="20"/>
      <c r="L8" s="21"/>
      <c r="M8" s="19" t="s">
        <v>108</v>
      </c>
      <c r="N8" s="20"/>
      <c r="O8" s="20"/>
      <c r="P8" s="41"/>
      <c r="Q8" s="20"/>
      <c r="R8" s="20"/>
      <c r="S8" s="20"/>
      <c r="T8" s="20"/>
      <c r="U8" s="20"/>
      <c r="V8" s="20"/>
      <c r="W8" s="20"/>
      <c r="X8" s="20"/>
      <c r="Y8" s="20"/>
      <c r="Z8" s="21"/>
      <c r="AA8" s="20"/>
      <c r="AB8" s="32" t="s">
        <v>111</v>
      </c>
      <c r="AC8" s="21"/>
    </row>
    <row r="9" spans="1:29">
      <c r="A9" s="47" t="s">
        <v>104</v>
      </c>
      <c r="B9" s="20"/>
      <c r="C9" s="19" t="s">
        <v>101</v>
      </c>
      <c r="D9" s="20"/>
      <c r="E9" s="20"/>
      <c r="F9" s="20"/>
      <c r="G9" s="20"/>
      <c r="H9" s="20"/>
      <c r="I9" s="20"/>
      <c r="J9" s="20"/>
      <c r="K9" s="20"/>
      <c r="L9" s="21"/>
      <c r="M9" s="19" t="s">
        <v>109</v>
      </c>
      <c r="N9" s="20"/>
      <c r="O9" s="20"/>
      <c r="P9" s="41"/>
      <c r="Q9" s="20"/>
      <c r="R9" s="20"/>
      <c r="S9" s="20"/>
      <c r="T9" s="20"/>
      <c r="U9" s="20"/>
      <c r="V9" s="20"/>
      <c r="W9" s="20"/>
      <c r="X9" s="20"/>
      <c r="Y9" s="20"/>
      <c r="Z9" s="21"/>
      <c r="AA9" s="20"/>
      <c r="AB9" s="32" t="s">
        <v>111</v>
      </c>
      <c r="AC9" s="21"/>
    </row>
    <row r="10" spans="1:29">
      <c r="A10" s="47" t="s">
        <v>105</v>
      </c>
      <c r="B10" s="20"/>
      <c r="C10" s="19" t="s">
        <v>102</v>
      </c>
      <c r="D10" s="20"/>
      <c r="E10" s="20"/>
      <c r="F10" s="20"/>
      <c r="G10" s="20"/>
      <c r="H10" s="20"/>
      <c r="I10" s="20"/>
      <c r="J10" s="20"/>
      <c r="K10" s="20"/>
      <c r="L10" s="21"/>
      <c r="M10" s="19" t="s">
        <v>110</v>
      </c>
      <c r="N10" s="20"/>
      <c r="O10" s="20"/>
      <c r="P10" s="41"/>
      <c r="Q10" s="20"/>
      <c r="R10" s="20"/>
      <c r="S10" s="20"/>
      <c r="T10" s="20"/>
      <c r="U10" s="20"/>
      <c r="V10" s="20"/>
      <c r="W10" s="20"/>
      <c r="X10" s="20"/>
      <c r="Y10" s="20"/>
      <c r="Z10" s="21"/>
      <c r="AA10" s="20"/>
      <c r="AB10" s="32" t="s">
        <v>111</v>
      </c>
      <c r="AC10" s="21"/>
    </row>
    <row r="11" spans="1:29">
      <c r="A11" s="47"/>
      <c r="B11" s="20"/>
      <c r="C11" s="19"/>
      <c r="D11" s="20"/>
      <c r="E11" s="20"/>
      <c r="F11" s="20"/>
      <c r="G11" s="20"/>
      <c r="H11" s="20"/>
      <c r="I11" s="20"/>
      <c r="J11" s="20"/>
      <c r="K11" s="20"/>
      <c r="L11" s="21"/>
      <c r="M11" s="19"/>
      <c r="N11" s="20"/>
      <c r="O11" s="20"/>
      <c r="P11" s="41"/>
      <c r="Q11" s="20"/>
      <c r="R11" s="20"/>
      <c r="S11" s="20"/>
      <c r="T11" s="20"/>
      <c r="U11" s="20"/>
      <c r="V11" s="20"/>
      <c r="W11" s="20"/>
      <c r="X11" s="20"/>
      <c r="Y11" s="20"/>
      <c r="Z11" s="21"/>
      <c r="AA11" s="20"/>
      <c r="AB11" s="20"/>
      <c r="AC11" s="21"/>
    </row>
    <row r="12" spans="1:29">
      <c r="A12" s="47"/>
      <c r="B12" s="20"/>
      <c r="C12" s="19"/>
      <c r="D12" s="20"/>
      <c r="E12" s="20"/>
      <c r="F12" s="20"/>
      <c r="G12" s="20"/>
      <c r="H12" s="20"/>
      <c r="I12" s="20"/>
      <c r="J12" s="20"/>
      <c r="K12" s="20"/>
      <c r="L12" s="21"/>
      <c r="M12" s="19"/>
      <c r="N12" s="20"/>
      <c r="O12" s="20"/>
      <c r="P12" s="41"/>
      <c r="Q12" s="20"/>
      <c r="R12" s="20"/>
      <c r="S12" s="20"/>
      <c r="T12" s="20"/>
      <c r="U12" s="20"/>
      <c r="V12" s="20"/>
      <c r="W12" s="20"/>
      <c r="X12" s="20"/>
      <c r="Y12" s="20"/>
      <c r="Z12" s="21"/>
      <c r="AA12" s="20"/>
      <c r="AB12" s="20"/>
      <c r="AC12" s="21"/>
    </row>
    <row r="13" spans="1:29" ht="21" thickBot="1">
      <c r="A13" s="48"/>
      <c r="B13" s="23"/>
      <c r="C13" s="22"/>
      <c r="D13" s="23"/>
      <c r="E13" s="23"/>
      <c r="F13" s="23"/>
      <c r="G13" s="23"/>
      <c r="H13" s="23"/>
      <c r="I13" s="23"/>
      <c r="J13" s="23"/>
      <c r="K13" s="23"/>
      <c r="L13" s="24"/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4"/>
      <c r="AA13" s="23"/>
      <c r="AB13" s="23"/>
      <c r="AC13" s="24"/>
    </row>
    <row r="14" spans="1:29">
      <c r="B14" s="40"/>
    </row>
    <row r="15" spans="1:29">
      <c r="B15" s="40"/>
    </row>
    <row r="16" spans="1:29">
      <c r="B16" s="40"/>
    </row>
    <row r="17" spans="2:2">
      <c r="B17" s="39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5C6D-23FC-294D-A474-155EC8C1D970}">
  <dimension ref="A1:AC19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 ht="21" thickBot="1">
      <c r="A4" s="8" t="s">
        <v>112</v>
      </c>
      <c r="B4" s="8"/>
    </row>
    <row r="5" spans="1:29" ht="21" thickBot="1">
      <c r="A5" s="49" t="s">
        <v>114</v>
      </c>
      <c r="B5" s="45"/>
      <c r="C5" s="38" t="s">
        <v>33</v>
      </c>
      <c r="D5" s="14"/>
      <c r="E5" s="14"/>
      <c r="F5" s="14"/>
      <c r="G5" s="14"/>
      <c r="H5" s="45"/>
      <c r="I5" s="14"/>
      <c r="J5" s="14"/>
      <c r="K5" s="14"/>
      <c r="L5" s="15"/>
      <c r="M5" s="38" t="s">
        <v>20</v>
      </c>
      <c r="N5" s="14"/>
      <c r="O5" s="15"/>
      <c r="P5" s="14" t="s">
        <v>21</v>
      </c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spans="1:29">
      <c r="A6" s="46" t="s">
        <v>115</v>
      </c>
      <c r="B6" s="32"/>
      <c r="C6" s="31" t="s">
        <v>121</v>
      </c>
      <c r="D6" s="32"/>
      <c r="E6" s="32"/>
      <c r="F6" s="32"/>
      <c r="G6" s="32"/>
      <c r="H6" s="32"/>
      <c r="I6" s="32"/>
      <c r="J6" s="32"/>
      <c r="K6" s="32"/>
      <c r="L6" s="33"/>
      <c r="M6" s="31"/>
      <c r="N6" s="32" t="s">
        <v>111</v>
      </c>
      <c r="O6" s="33"/>
      <c r="P6" s="4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3"/>
    </row>
    <row r="7" spans="1:29">
      <c r="A7" s="47" t="s">
        <v>116</v>
      </c>
      <c r="B7" s="20"/>
      <c r="C7" s="19" t="s">
        <v>122</v>
      </c>
      <c r="D7" s="20"/>
      <c r="E7" s="20"/>
      <c r="F7" s="20"/>
      <c r="G7" s="20"/>
      <c r="H7" s="20"/>
      <c r="I7" s="20"/>
      <c r="J7" s="20"/>
      <c r="K7" s="20"/>
      <c r="L7" s="21"/>
      <c r="M7" s="19"/>
      <c r="N7" s="32" t="s">
        <v>111</v>
      </c>
      <c r="O7" s="21"/>
      <c r="P7" s="41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29">
      <c r="A8" s="47" t="s">
        <v>117</v>
      </c>
      <c r="B8" s="20"/>
      <c r="C8" s="19" t="s">
        <v>123</v>
      </c>
      <c r="D8" s="20"/>
      <c r="E8" s="20"/>
      <c r="F8" s="20"/>
      <c r="G8" s="20"/>
      <c r="H8" s="20"/>
      <c r="I8" s="20"/>
      <c r="J8" s="20"/>
      <c r="K8" s="20"/>
      <c r="L8" s="21"/>
      <c r="M8" s="19"/>
      <c r="N8" s="32" t="s">
        <v>111</v>
      </c>
      <c r="O8" s="21"/>
      <c r="P8" s="41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spans="1:29">
      <c r="A9" s="47" t="s">
        <v>118</v>
      </c>
      <c r="B9" s="20"/>
      <c r="C9" s="19" t="s">
        <v>124</v>
      </c>
      <c r="D9" s="20"/>
      <c r="E9" s="20"/>
      <c r="F9" s="20"/>
      <c r="G9" s="20"/>
      <c r="H9" s="20"/>
      <c r="I9" s="20"/>
      <c r="J9" s="20"/>
      <c r="K9" s="20"/>
      <c r="L9" s="21"/>
      <c r="M9" s="19"/>
      <c r="N9" s="32" t="s">
        <v>111</v>
      </c>
      <c r="O9" s="21"/>
      <c r="P9" s="41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</row>
    <row r="10" spans="1:29">
      <c r="A10" s="47" t="s">
        <v>119</v>
      </c>
      <c r="B10" s="20"/>
      <c r="C10" s="19" t="s">
        <v>125</v>
      </c>
      <c r="D10" s="20"/>
      <c r="E10" s="20"/>
      <c r="F10" s="20"/>
      <c r="G10" s="20"/>
      <c r="H10" s="20"/>
      <c r="I10" s="20"/>
      <c r="J10" s="20"/>
      <c r="K10" s="20"/>
      <c r="L10" s="21"/>
      <c r="M10" s="19"/>
      <c r="N10" s="32" t="s">
        <v>111</v>
      </c>
      <c r="O10" s="21"/>
      <c r="P10" s="41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29">
      <c r="A11" s="47" t="s">
        <v>120</v>
      </c>
      <c r="B11" s="20"/>
      <c r="C11" s="19" t="s">
        <v>126</v>
      </c>
      <c r="D11" s="20"/>
      <c r="E11" s="20"/>
      <c r="F11" s="20"/>
      <c r="G11" s="20"/>
      <c r="H11" s="20"/>
      <c r="I11" s="20"/>
      <c r="J11" s="20"/>
      <c r="K11" s="20"/>
      <c r="L11" s="21"/>
      <c r="M11" s="19"/>
      <c r="N11" s="32" t="s">
        <v>111</v>
      </c>
      <c r="O11" s="21"/>
      <c r="P11" s="4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1"/>
    </row>
    <row r="12" spans="1:29">
      <c r="A12" s="47" t="s">
        <v>143</v>
      </c>
      <c r="B12" s="20"/>
      <c r="C12" s="19" t="s">
        <v>144</v>
      </c>
      <c r="D12" s="20"/>
      <c r="E12" s="20"/>
      <c r="F12" s="20"/>
      <c r="G12" s="20"/>
      <c r="H12" s="20"/>
      <c r="I12" s="20"/>
      <c r="J12" s="20"/>
      <c r="K12" s="20"/>
      <c r="L12" s="21"/>
      <c r="M12" s="19"/>
      <c r="N12" s="32" t="s">
        <v>111</v>
      </c>
      <c r="O12" s="21"/>
      <c r="P12" s="41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29">
      <c r="A13" s="50" t="s">
        <v>145</v>
      </c>
      <c r="B13" s="51"/>
      <c r="C13" s="52" t="s">
        <v>146</v>
      </c>
      <c r="D13" s="51"/>
      <c r="E13" s="51"/>
      <c r="F13" s="51"/>
      <c r="G13" s="51"/>
      <c r="H13" s="51"/>
      <c r="I13" s="51"/>
      <c r="J13" s="51"/>
      <c r="K13" s="51"/>
      <c r="L13" s="53"/>
      <c r="M13" s="52"/>
      <c r="N13" s="32" t="s">
        <v>111</v>
      </c>
      <c r="O13" s="53"/>
      <c r="P13" s="54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3"/>
    </row>
    <row r="14" spans="1:29">
      <c r="A14" s="50"/>
      <c r="B14" s="51"/>
      <c r="C14" s="52"/>
      <c r="D14" s="51"/>
      <c r="E14" s="51"/>
      <c r="F14" s="51"/>
      <c r="G14" s="51"/>
      <c r="H14" s="51"/>
      <c r="I14" s="51"/>
      <c r="J14" s="51"/>
      <c r="K14" s="51"/>
      <c r="L14" s="53"/>
      <c r="M14" s="52"/>
      <c r="N14" s="51"/>
      <c r="O14" s="53"/>
      <c r="P14" s="54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3"/>
    </row>
    <row r="15" spans="1:29" ht="21" thickBot="1">
      <c r="A15" s="48"/>
      <c r="B15" s="23"/>
      <c r="C15" s="22"/>
      <c r="D15" s="23"/>
      <c r="E15" s="23"/>
      <c r="F15" s="23"/>
      <c r="G15" s="23"/>
      <c r="H15" s="23"/>
      <c r="I15" s="23"/>
      <c r="J15" s="23"/>
      <c r="K15" s="23"/>
      <c r="L15" s="24"/>
      <c r="M15" s="22"/>
      <c r="N15" s="23"/>
      <c r="O15" s="24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4"/>
    </row>
    <row r="16" spans="1:29">
      <c r="B16" s="40"/>
    </row>
    <row r="17" spans="2:2">
      <c r="B17" s="40"/>
    </row>
    <row r="18" spans="2:2">
      <c r="B18" s="40"/>
    </row>
    <row r="19" spans="2:2">
      <c r="B19" s="39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6C6E1-2A68-0F40-B671-B10830D9E135}">
  <dimension ref="A1:AC13"/>
  <sheetViews>
    <sheetView showGridLines="0" workbookViewId="0">
      <selection activeCell="M10" sqref="M10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 ht="21" thickBot="1">
      <c r="A4" s="8" t="s">
        <v>38</v>
      </c>
    </row>
    <row r="5" spans="1:29" ht="21" thickBot="1">
      <c r="A5" s="49" t="s">
        <v>127</v>
      </c>
      <c r="B5" s="45"/>
      <c r="C5" s="38" t="s">
        <v>19</v>
      </c>
      <c r="D5" s="14"/>
      <c r="E5" s="14"/>
      <c r="F5" s="14"/>
      <c r="G5" s="14"/>
      <c r="H5" s="45"/>
      <c r="I5" s="14"/>
      <c r="J5" s="14"/>
      <c r="K5" s="14"/>
      <c r="L5" s="15"/>
      <c r="M5" s="38" t="s">
        <v>34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spans="1:29">
      <c r="A6" s="46" t="s">
        <v>128</v>
      </c>
      <c r="B6" s="32"/>
      <c r="C6" s="31" t="s">
        <v>135</v>
      </c>
      <c r="D6" s="32"/>
      <c r="E6" s="32"/>
      <c r="F6" s="32"/>
      <c r="G6" s="32"/>
      <c r="H6" s="32"/>
      <c r="I6" s="32"/>
      <c r="J6" s="32"/>
      <c r="K6" s="32"/>
      <c r="L6" s="33"/>
      <c r="M6" s="31" t="s">
        <v>139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3"/>
    </row>
    <row r="7" spans="1:29">
      <c r="A7" s="47" t="s">
        <v>129</v>
      </c>
      <c r="B7" s="20"/>
      <c r="C7" s="19" t="s">
        <v>136</v>
      </c>
      <c r="D7" s="20"/>
      <c r="E7" s="20"/>
      <c r="F7" s="20"/>
      <c r="G7" s="20"/>
      <c r="H7" s="20"/>
      <c r="I7" s="20"/>
      <c r="J7" s="20"/>
      <c r="K7" s="20"/>
      <c r="L7" s="21"/>
      <c r="M7" s="19" t="s">
        <v>140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29">
      <c r="A8" s="47" t="s">
        <v>130</v>
      </c>
      <c r="B8" s="20"/>
      <c r="C8" s="19" t="s">
        <v>137</v>
      </c>
      <c r="D8" s="20"/>
      <c r="E8" s="20"/>
      <c r="F8" s="20"/>
      <c r="G8" s="20"/>
      <c r="H8" s="20"/>
      <c r="I8" s="20"/>
      <c r="J8" s="20"/>
      <c r="K8" s="20"/>
      <c r="L8" s="21"/>
      <c r="M8" s="19" t="s">
        <v>141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spans="1:29">
      <c r="A9" s="47" t="s">
        <v>131</v>
      </c>
      <c r="B9" s="20"/>
      <c r="C9" s="19" t="s">
        <v>138</v>
      </c>
      <c r="D9" s="20"/>
      <c r="E9" s="20"/>
      <c r="F9" s="20"/>
      <c r="G9" s="20"/>
      <c r="H9" s="20"/>
      <c r="I9" s="20"/>
      <c r="J9" s="20"/>
      <c r="K9" s="20"/>
      <c r="L9" s="21"/>
      <c r="M9" s="19" t="s">
        <v>142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</row>
    <row r="10" spans="1:29">
      <c r="A10" s="47" t="s">
        <v>132</v>
      </c>
      <c r="B10" s="20"/>
      <c r="C10" s="19"/>
      <c r="D10" s="20"/>
      <c r="E10" s="20"/>
      <c r="F10" s="20"/>
      <c r="G10" s="20"/>
      <c r="H10" s="20"/>
      <c r="I10" s="20"/>
      <c r="J10" s="20"/>
      <c r="K10" s="20"/>
      <c r="L10" s="21"/>
      <c r="M10" s="19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29">
      <c r="A11" s="47" t="s">
        <v>133</v>
      </c>
      <c r="B11" s="20"/>
      <c r="C11" s="19"/>
      <c r="D11" s="20"/>
      <c r="E11" s="20"/>
      <c r="F11" s="20"/>
      <c r="G11" s="20"/>
      <c r="H11" s="20"/>
      <c r="I11" s="20"/>
      <c r="J11" s="20"/>
      <c r="K11" s="20"/>
      <c r="L11" s="21"/>
      <c r="M11" s="19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1"/>
    </row>
    <row r="12" spans="1:29">
      <c r="A12" s="47" t="s">
        <v>134</v>
      </c>
      <c r="B12" s="20"/>
      <c r="C12" s="19"/>
      <c r="D12" s="20"/>
      <c r="E12" s="20"/>
      <c r="F12" s="20"/>
      <c r="G12" s="20"/>
      <c r="H12" s="20"/>
      <c r="I12" s="20"/>
      <c r="J12" s="20"/>
      <c r="K12" s="20"/>
      <c r="L12" s="21"/>
      <c r="M12" s="19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29" ht="21" thickBot="1">
      <c r="A13" s="48"/>
      <c r="B13" s="23"/>
      <c r="C13" s="22"/>
      <c r="D13" s="23"/>
      <c r="E13" s="23"/>
      <c r="F13" s="23"/>
      <c r="G13" s="23"/>
      <c r="H13" s="23"/>
      <c r="I13" s="23"/>
      <c r="J13" s="23"/>
      <c r="K13" s="23"/>
      <c r="L13" s="24"/>
      <c r="M13" s="22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ACCC-4B67-644C-9F76-EF5C50407AB5}">
  <dimension ref="A1:AC32"/>
  <sheetViews>
    <sheetView showGridLines="0" tabSelected="1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>
      <c r="A4" s="8" t="s">
        <v>35</v>
      </c>
    </row>
    <row r="5" spans="1:29">
      <c r="B5" s="40"/>
    </row>
    <row r="6" spans="1:29">
      <c r="B6" s="40"/>
    </row>
    <row r="7" spans="1:29">
      <c r="B7" s="40"/>
    </row>
    <row r="8" spans="1:29">
      <c r="B8" s="40"/>
    </row>
    <row r="9" spans="1:29">
      <c r="B9" s="40"/>
    </row>
    <row r="10" spans="1:29">
      <c r="B10" s="40"/>
    </row>
    <row r="11" spans="1:29">
      <c r="B11" s="40"/>
    </row>
    <row r="12" spans="1:29">
      <c r="B12" s="40"/>
    </row>
    <row r="13" spans="1:29">
      <c r="B13" s="40"/>
    </row>
    <row r="14" spans="1:29">
      <c r="B14" s="40"/>
    </row>
    <row r="15" spans="1:29">
      <c r="B15" s="40"/>
    </row>
    <row r="16" spans="1:29">
      <c r="B16" s="40"/>
    </row>
    <row r="17" spans="1:28">
      <c r="B17" s="39"/>
    </row>
    <row r="19" spans="1:28">
      <c r="A19" s="8" t="s">
        <v>36</v>
      </c>
    </row>
    <row r="26" spans="1:28" ht="21" thickBot="1"/>
    <row r="27" spans="1:28">
      <c r="B27" s="55" t="s">
        <v>147</v>
      </c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7"/>
    </row>
    <row r="28" spans="1:28">
      <c r="B28" s="58" t="s">
        <v>17</v>
      </c>
      <c r="C28" t="s">
        <v>148</v>
      </c>
      <c r="AB28" s="59"/>
    </row>
    <row r="29" spans="1:28">
      <c r="B29" s="58" t="s">
        <v>17</v>
      </c>
      <c r="C29" t="s">
        <v>149</v>
      </c>
      <c r="AB29" s="59"/>
    </row>
    <row r="30" spans="1:28">
      <c r="B30" s="58" t="s">
        <v>17</v>
      </c>
      <c r="C30" t="s">
        <v>150</v>
      </c>
      <c r="AB30" s="59"/>
    </row>
    <row r="31" spans="1:28">
      <c r="B31" s="58" t="s">
        <v>17</v>
      </c>
      <c r="C31" t="s">
        <v>136</v>
      </c>
      <c r="AB31" s="59"/>
    </row>
    <row r="32" spans="1:28" ht="21" thickBot="1">
      <c r="B32" s="5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7"/>
    </row>
  </sheetData>
  <mergeCells count="2">
    <mergeCell ref="A1:C1"/>
    <mergeCell ref="A2:C2"/>
  </mergeCells>
  <phoneticPr fontId="1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03599-12DF-AA4A-86F9-B79546AC8BF5}">
  <dimension ref="A1:AC21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>
      <c r="A4" s="8" t="s">
        <v>37</v>
      </c>
    </row>
    <row r="5" spans="1:29">
      <c r="A5" t="s">
        <v>17</v>
      </c>
      <c r="B5" s="40" t="s">
        <v>151</v>
      </c>
    </row>
    <row r="6" spans="1:29">
      <c r="B6" s="40"/>
    </row>
    <row r="7" spans="1:29">
      <c r="B7" s="40"/>
    </row>
    <row r="8" spans="1:29">
      <c r="B8" s="40"/>
    </row>
    <row r="9" spans="1:29">
      <c r="B9" s="40"/>
    </row>
    <row r="10" spans="1:29">
      <c r="A10" s="8" t="s">
        <v>152</v>
      </c>
      <c r="B10" s="40"/>
    </row>
    <row r="11" spans="1:29">
      <c r="A11" t="s">
        <v>17</v>
      </c>
      <c r="B11" s="40" t="s">
        <v>153</v>
      </c>
    </row>
    <row r="12" spans="1:29">
      <c r="B12" s="40"/>
    </row>
    <row r="13" spans="1:29">
      <c r="B13" s="40"/>
    </row>
    <row r="14" spans="1:29">
      <c r="B14" s="40"/>
    </row>
    <row r="15" spans="1:29">
      <c r="A15" s="8" t="s">
        <v>154</v>
      </c>
      <c r="B15" s="40"/>
    </row>
    <row r="16" spans="1:29">
      <c r="A16" t="s">
        <v>17</v>
      </c>
      <c r="B16" s="40" t="s">
        <v>155</v>
      </c>
    </row>
    <row r="17" spans="1:2">
      <c r="B17" s="39"/>
    </row>
    <row r="20" spans="1:2">
      <c r="A20" s="8" t="s">
        <v>21</v>
      </c>
    </row>
    <row r="21" spans="1:2">
      <c r="A21" t="s">
        <v>17</v>
      </c>
      <c r="B21" t="s">
        <v>156</v>
      </c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2126E-D2AD-4745-93A7-8F2D0E71A22E}">
  <dimension ref="A1:AC13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 ht="21" thickBot="1">
      <c r="A4" s="8" t="s">
        <v>40</v>
      </c>
    </row>
    <row r="5" spans="1:29" ht="21" thickBot="1">
      <c r="A5" s="12" t="s">
        <v>39</v>
      </c>
      <c r="B5" s="14"/>
      <c r="C5" s="14"/>
      <c r="D5" s="15"/>
      <c r="E5" s="14" t="s">
        <v>41</v>
      </c>
      <c r="F5" s="14"/>
      <c r="G5" s="14"/>
      <c r="H5" s="14"/>
      <c r="I5" s="14"/>
      <c r="J5" s="14"/>
      <c r="K5" s="38" t="s">
        <v>42</v>
      </c>
      <c r="L5" s="15"/>
      <c r="M5" s="14" t="s">
        <v>21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spans="1:29">
      <c r="A6" s="46" t="s">
        <v>157</v>
      </c>
      <c r="B6" s="32"/>
      <c r="C6" s="32"/>
      <c r="D6" s="33"/>
      <c r="E6" s="32" t="s">
        <v>158</v>
      </c>
      <c r="F6" s="32"/>
      <c r="G6" s="32"/>
      <c r="H6" s="32"/>
      <c r="I6" s="32"/>
      <c r="J6" s="32"/>
      <c r="K6" s="31" t="s">
        <v>159</v>
      </c>
      <c r="L6" s="33"/>
      <c r="M6" s="32" t="s">
        <v>173</v>
      </c>
      <c r="N6" s="4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3"/>
    </row>
    <row r="7" spans="1:29">
      <c r="A7" s="47" t="s">
        <v>160</v>
      </c>
      <c r="B7" s="20"/>
      <c r="C7" s="20"/>
      <c r="D7" s="21"/>
      <c r="E7" s="20" t="s">
        <v>161</v>
      </c>
      <c r="F7" s="20"/>
      <c r="G7" s="20"/>
      <c r="H7" s="20"/>
      <c r="I7" s="20"/>
      <c r="J7" s="20"/>
      <c r="K7" s="19" t="s">
        <v>14</v>
      </c>
      <c r="L7" s="21"/>
      <c r="M7" s="20" t="s">
        <v>174</v>
      </c>
      <c r="N7" s="41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29">
      <c r="A8" s="47" t="s">
        <v>162</v>
      </c>
      <c r="B8" s="20"/>
      <c r="C8" s="20"/>
      <c r="D8" s="21"/>
      <c r="E8" s="20" t="s">
        <v>165</v>
      </c>
      <c r="F8" s="20"/>
      <c r="G8" s="20"/>
      <c r="H8" s="20"/>
      <c r="I8" s="20"/>
      <c r="J8" s="20"/>
      <c r="K8" s="19" t="s">
        <v>159</v>
      </c>
      <c r="L8" s="21"/>
      <c r="M8" s="20" t="s">
        <v>172</v>
      </c>
      <c r="N8" s="41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spans="1:29">
      <c r="A9" s="47" t="s">
        <v>163</v>
      </c>
      <c r="B9" s="20"/>
      <c r="C9" s="20"/>
      <c r="D9" s="21"/>
      <c r="E9" s="20" t="s">
        <v>166</v>
      </c>
      <c r="F9" s="20"/>
      <c r="G9" s="20"/>
      <c r="H9" s="20"/>
      <c r="I9" s="20"/>
      <c r="J9" s="20"/>
      <c r="K9" s="19" t="s">
        <v>159</v>
      </c>
      <c r="L9" s="21"/>
      <c r="M9" s="20" t="s">
        <v>169</v>
      </c>
      <c r="N9" s="41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</row>
    <row r="10" spans="1:29">
      <c r="A10" s="47" t="s">
        <v>44</v>
      </c>
      <c r="B10" s="20"/>
      <c r="C10" s="20"/>
      <c r="D10" s="21"/>
      <c r="E10" s="20" t="s">
        <v>167</v>
      </c>
      <c r="F10" s="20"/>
      <c r="G10" s="20"/>
      <c r="H10" s="20"/>
      <c r="I10" s="20"/>
      <c r="J10" s="20"/>
      <c r="K10" s="19" t="s">
        <v>159</v>
      </c>
      <c r="L10" s="21"/>
      <c r="M10" s="20" t="s">
        <v>170</v>
      </c>
      <c r="N10" s="41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29">
      <c r="A11" s="47" t="s">
        <v>164</v>
      </c>
      <c r="B11" s="20"/>
      <c r="C11" s="20"/>
      <c r="D11" s="21"/>
      <c r="E11" s="20" t="s">
        <v>168</v>
      </c>
      <c r="F11" s="20"/>
      <c r="G11" s="20"/>
      <c r="H11" s="20"/>
      <c r="I11" s="20"/>
      <c r="J11" s="20"/>
      <c r="K11" s="19" t="s">
        <v>14</v>
      </c>
      <c r="L11" s="21"/>
      <c r="M11" s="20" t="s">
        <v>171</v>
      </c>
      <c r="N11" s="41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1"/>
    </row>
    <row r="12" spans="1:29">
      <c r="A12" s="47"/>
      <c r="B12" s="20"/>
      <c r="C12" s="20"/>
      <c r="D12" s="21"/>
      <c r="E12" s="20"/>
      <c r="F12" s="20"/>
      <c r="G12" s="20"/>
      <c r="H12" s="20"/>
      <c r="I12" s="20"/>
      <c r="J12" s="20"/>
      <c r="K12" s="19"/>
      <c r="L12" s="21"/>
      <c r="M12" s="20"/>
      <c r="N12" s="41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29" ht="21" thickBot="1">
      <c r="A13" s="48"/>
      <c r="B13" s="23"/>
      <c r="C13" s="23"/>
      <c r="D13" s="24"/>
      <c r="E13" s="23"/>
      <c r="F13" s="23"/>
      <c r="G13" s="23"/>
      <c r="H13" s="23"/>
      <c r="I13" s="23"/>
      <c r="J13" s="23"/>
      <c r="K13" s="22"/>
      <c r="L13" s="24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021B3-9A52-744A-B795-C09790A6FF2C}">
  <dimension ref="A1:AC13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 ht="21" thickBot="1">
      <c r="A4" s="8" t="s">
        <v>43</v>
      </c>
    </row>
    <row r="5" spans="1:29" ht="21" thickBot="1">
      <c r="A5" s="12" t="s">
        <v>39</v>
      </c>
      <c r="B5" s="14"/>
      <c r="C5" s="14"/>
      <c r="D5" s="15"/>
      <c r="E5" s="14" t="s">
        <v>41</v>
      </c>
      <c r="F5" s="14"/>
      <c r="G5" s="14"/>
      <c r="H5" s="14"/>
      <c r="I5" s="14"/>
      <c r="J5" s="14"/>
      <c r="K5" s="38" t="s">
        <v>42</v>
      </c>
      <c r="L5" s="15"/>
      <c r="M5" s="14" t="s">
        <v>21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spans="1:29">
      <c r="A6" s="46" t="s">
        <v>175</v>
      </c>
      <c r="B6" s="32"/>
      <c r="C6" s="32"/>
      <c r="D6" s="33"/>
      <c r="E6" s="32" t="s">
        <v>176</v>
      </c>
      <c r="F6" s="32"/>
      <c r="G6" s="32"/>
      <c r="H6" s="32"/>
      <c r="I6" s="32"/>
      <c r="J6" s="32"/>
      <c r="K6" s="31" t="s">
        <v>159</v>
      </c>
      <c r="L6" s="33"/>
      <c r="M6" s="32" t="s">
        <v>187</v>
      </c>
      <c r="N6" s="4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3"/>
    </row>
    <row r="7" spans="1:29">
      <c r="A7" s="47" t="s">
        <v>177</v>
      </c>
      <c r="B7" s="20"/>
      <c r="C7" s="20"/>
      <c r="D7" s="21"/>
      <c r="E7" s="20" t="s">
        <v>167</v>
      </c>
      <c r="F7" s="20"/>
      <c r="G7" s="20"/>
      <c r="H7" s="20"/>
      <c r="I7" s="20"/>
      <c r="J7" s="20"/>
      <c r="K7" s="19" t="s">
        <v>159</v>
      </c>
      <c r="L7" s="21"/>
      <c r="M7" s="20" t="s">
        <v>178</v>
      </c>
      <c r="N7" s="41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29">
      <c r="A8" s="47" t="s">
        <v>179</v>
      </c>
      <c r="B8" s="20"/>
      <c r="C8" s="20"/>
      <c r="D8" s="21"/>
      <c r="E8" s="20" t="s">
        <v>180</v>
      </c>
      <c r="F8" s="20"/>
      <c r="G8" s="20"/>
      <c r="H8" s="20"/>
      <c r="I8" s="20"/>
      <c r="J8" s="20"/>
      <c r="K8" s="19" t="s">
        <v>159</v>
      </c>
      <c r="L8" s="21"/>
      <c r="M8" s="20" t="s">
        <v>181</v>
      </c>
      <c r="N8" s="41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spans="1:29">
      <c r="A9" s="47" t="s">
        <v>182</v>
      </c>
      <c r="B9" s="20"/>
      <c r="C9" s="20"/>
      <c r="D9" s="21"/>
      <c r="E9" s="20" t="s">
        <v>183</v>
      </c>
      <c r="F9" s="20"/>
      <c r="G9" s="20"/>
      <c r="H9" s="20"/>
      <c r="I9" s="20"/>
      <c r="J9" s="20"/>
      <c r="K9" s="19" t="s">
        <v>159</v>
      </c>
      <c r="L9" s="21"/>
      <c r="M9" s="20" t="s">
        <v>184</v>
      </c>
      <c r="N9" s="41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</row>
    <row r="10" spans="1:29">
      <c r="A10" s="47" t="s">
        <v>185</v>
      </c>
      <c r="B10" s="20"/>
      <c r="C10" s="20"/>
      <c r="D10" s="21"/>
      <c r="E10" s="20" t="s">
        <v>168</v>
      </c>
      <c r="F10" s="20"/>
      <c r="G10" s="20"/>
      <c r="H10" s="20"/>
      <c r="I10" s="20"/>
      <c r="J10" s="20"/>
      <c r="K10" s="19" t="s">
        <v>159</v>
      </c>
      <c r="L10" s="21"/>
      <c r="M10" s="20" t="s">
        <v>186</v>
      </c>
      <c r="N10" s="41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29">
      <c r="A11" s="36"/>
      <c r="B11" s="20"/>
      <c r="C11" s="20"/>
      <c r="D11" s="21"/>
      <c r="E11" s="20"/>
      <c r="F11" s="20"/>
      <c r="G11" s="20"/>
      <c r="H11" s="20"/>
      <c r="I11" s="20"/>
      <c r="J11" s="20"/>
      <c r="K11" s="19"/>
      <c r="L11" s="21"/>
      <c r="M11" s="20"/>
      <c r="N11" s="41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1"/>
    </row>
    <row r="12" spans="1:29">
      <c r="A12" s="36"/>
      <c r="B12" s="20"/>
      <c r="C12" s="20"/>
      <c r="D12" s="21"/>
      <c r="E12" s="20"/>
      <c r="F12" s="20"/>
      <c r="G12" s="20"/>
      <c r="H12" s="20"/>
      <c r="I12" s="20"/>
      <c r="J12" s="20"/>
      <c r="K12" s="19"/>
      <c r="L12" s="21"/>
      <c r="M12" s="20"/>
      <c r="N12" s="41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29" ht="21" thickBot="1">
      <c r="A13" s="37"/>
      <c r="B13" s="23"/>
      <c r="C13" s="23"/>
      <c r="D13" s="24"/>
      <c r="E13" s="23"/>
      <c r="F13" s="23"/>
      <c r="G13" s="23"/>
      <c r="H13" s="23"/>
      <c r="I13" s="23"/>
      <c r="J13" s="23"/>
      <c r="K13" s="22"/>
      <c r="L13" s="24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9743F-1511-8545-B242-F71766D91493}">
  <dimension ref="A1:AC40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 ht="21" thickBot="1">
      <c r="A4" s="8" t="s">
        <v>192</v>
      </c>
    </row>
    <row r="5" spans="1:29" ht="21" thickBot="1">
      <c r="A5" s="13" t="s">
        <v>44</v>
      </c>
      <c r="B5" s="14"/>
      <c r="C5" s="14"/>
      <c r="D5" s="14"/>
      <c r="E5" s="13" t="s">
        <v>41</v>
      </c>
      <c r="F5" s="14"/>
      <c r="G5" s="14"/>
      <c r="H5" s="14"/>
      <c r="I5" s="14"/>
      <c r="J5" s="15"/>
      <c r="K5" s="38" t="s">
        <v>42</v>
      </c>
      <c r="L5" s="15"/>
      <c r="M5" s="14" t="s">
        <v>21</v>
      </c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5"/>
    </row>
    <row r="6" spans="1:29">
      <c r="A6" s="31" t="s">
        <v>188</v>
      </c>
      <c r="B6" s="32"/>
      <c r="C6" s="32"/>
      <c r="D6" s="32"/>
      <c r="E6" s="31" t="s">
        <v>167</v>
      </c>
      <c r="F6" s="32"/>
      <c r="G6" s="32"/>
      <c r="H6" s="32"/>
      <c r="I6" s="32"/>
      <c r="J6" s="33"/>
      <c r="K6" s="31" t="s">
        <v>159</v>
      </c>
      <c r="L6" s="33"/>
      <c r="M6" s="32" t="s">
        <v>197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3"/>
    </row>
    <row r="7" spans="1:29">
      <c r="A7" s="19" t="s">
        <v>189</v>
      </c>
      <c r="B7" s="20"/>
      <c r="C7" s="20"/>
      <c r="D7" s="20"/>
      <c r="E7" s="19" t="s">
        <v>194</v>
      </c>
      <c r="F7" s="20"/>
      <c r="G7" s="20"/>
      <c r="H7" s="20"/>
      <c r="I7" s="20"/>
      <c r="J7" s="21"/>
      <c r="K7" s="19" t="s">
        <v>159</v>
      </c>
      <c r="L7" s="21"/>
      <c r="M7" s="20" t="s">
        <v>207</v>
      </c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1"/>
    </row>
    <row r="8" spans="1:29">
      <c r="A8" s="19" t="s">
        <v>190</v>
      </c>
      <c r="B8" s="20"/>
      <c r="C8" s="20"/>
      <c r="D8" s="20"/>
      <c r="E8" s="19" t="s">
        <v>194</v>
      </c>
      <c r="F8" s="20"/>
      <c r="G8" s="20"/>
      <c r="H8" s="20"/>
      <c r="I8" s="20"/>
      <c r="J8" s="21"/>
      <c r="K8" s="19" t="s">
        <v>159</v>
      </c>
      <c r="L8" s="21"/>
      <c r="M8" s="20" t="s">
        <v>198</v>
      </c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1"/>
    </row>
    <row r="9" spans="1:29">
      <c r="A9" s="19" t="s">
        <v>191</v>
      </c>
      <c r="B9" s="20"/>
      <c r="C9" s="20"/>
      <c r="D9" s="20"/>
      <c r="E9" s="19" t="s">
        <v>195</v>
      </c>
      <c r="F9" s="20"/>
      <c r="G9" s="20"/>
      <c r="H9" s="20"/>
      <c r="I9" s="20"/>
      <c r="J9" s="21"/>
      <c r="K9" s="19" t="s">
        <v>159</v>
      </c>
      <c r="L9" s="21"/>
      <c r="M9" s="20" t="s">
        <v>199</v>
      </c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1"/>
    </row>
    <row r="10" spans="1:29">
      <c r="A10" s="19"/>
      <c r="B10" s="20"/>
      <c r="C10" s="20"/>
      <c r="D10" s="20"/>
      <c r="E10" s="19"/>
      <c r="F10" s="20"/>
      <c r="G10" s="20"/>
      <c r="H10" s="20"/>
      <c r="I10" s="20"/>
      <c r="J10" s="21"/>
      <c r="K10" s="19"/>
      <c r="L10" s="21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1"/>
    </row>
    <row r="11" spans="1:29">
      <c r="A11" s="19"/>
      <c r="B11" s="20"/>
      <c r="C11" s="20"/>
      <c r="D11" s="20"/>
      <c r="E11" s="19"/>
      <c r="F11" s="20"/>
      <c r="G11" s="20"/>
      <c r="H11" s="20"/>
      <c r="I11" s="20"/>
      <c r="J11" s="21"/>
      <c r="K11" s="19"/>
      <c r="L11" s="21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1"/>
    </row>
    <row r="12" spans="1:29">
      <c r="A12" s="19"/>
      <c r="B12" s="20"/>
      <c r="C12" s="20"/>
      <c r="D12" s="20"/>
      <c r="E12" s="19"/>
      <c r="F12" s="20"/>
      <c r="G12" s="20"/>
      <c r="H12" s="20"/>
      <c r="I12" s="20"/>
      <c r="J12" s="21"/>
      <c r="K12" s="19"/>
      <c r="L12" s="21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1"/>
    </row>
    <row r="13" spans="1:29">
      <c r="A13" s="19"/>
      <c r="B13" s="20"/>
      <c r="C13" s="20"/>
      <c r="D13" s="20"/>
      <c r="E13" s="19"/>
      <c r="F13" s="20"/>
      <c r="G13" s="20"/>
      <c r="H13" s="20"/>
      <c r="I13" s="20"/>
      <c r="J13" s="21"/>
      <c r="K13" s="19"/>
      <c r="L13" s="21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1"/>
    </row>
    <row r="14" spans="1:29">
      <c r="A14" s="19"/>
      <c r="B14" s="20"/>
      <c r="C14" s="20"/>
      <c r="D14" s="20"/>
      <c r="E14" s="19"/>
      <c r="F14" s="20"/>
      <c r="G14" s="20"/>
      <c r="H14" s="20"/>
      <c r="I14" s="20"/>
      <c r="J14" s="21"/>
      <c r="K14" s="19"/>
      <c r="L14" s="21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1"/>
    </row>
    <row r="15" spans="1:29">
      <c r="A15" s="19"/>
      <c r="B15" s="20"/>
      <c r="C15" s="20"/>
      <c r="D15" s="20"/>
      <c r="E15" s="19"/>
      <c r="F15" s="20"/>
      <c r="G15" s="20"/>
      <c r="H15" s="20"/>
      <c r="I15" s="20"/>
      <c r="J15" s="21"/>
      <c r="K15" s="19"/>
      <c r="L15" s="21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1"/>
    </row>
    <row r="16" spans="1:29">
      <c r="A16" s="19"/>
      <c r="B16" s="20"/>
      <c r="C16" s="20"/>
      <c r="D16" s="20"/>
      <c r="E16" s="19"/>
      <c r="F16" s="20"/>
      <c r="G16" s="20"/>
      <c r="H16" s="20"/>
      <c r="I16" s="20"/>
      <c r="J16" s="21"/>
      <c r="K16" s="19"/>
      <c r="L16" s="21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1"/>
    </row>
    <row r="17" spans="1:29">
      <c r="A17" s="19"/>
      <c r="B17" s="20"/>
      <c r="C17" s="20"/>
      <c r="D17" s="20"/>
      <c r="E17" s="19"/>
      <c r="F17" s="20"/>
      <c r="G17" s="20"/>
      <c r="H17" s="20"/>
      <c r="I17" s="20"/>
      <c r="J17" s="21"/>
      <c r="K17" s="19"/>
      <c r="L17" s="21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1"/>
    </row>
    <row r="18" spans="1:29">
      <c r="A18" s="19"/>
      <c r="B18" s="20"/>
      <c r="C18" s="20"/>
      <c r="D18" s="20"/>
      <c r="E18" s="19"/>
      <c r="F18" s="20"/>
      <c r="G18" s="20"/>
      <c r="H18" s="20"/>
      <c r="I18" s="20"/>
      <c r="J18" s="21"/>
      <c r="K18" s="19"/>
      <c r="L18" s="21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1"/>
    </row>
    <row r="19" spans="1:29">
      <c r="A19" s="19"/>
      <c r="B19" s="20"/>
      <c r="C19" s="20"/>
      <c r="D19" s="20"/>
      <c r="E19" s="19"/>
      <c r="F19" s="20"/>
      <c r="G19" s="20"/>
      <c r="H19" s="20"/>
      <c r="I19" s="20"/>
      <c r="J19" s="21"/>
      <c r="K19" s="19"/>
      <c r="L19" s="21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1"/>
    </row>
    <row r="20" spans="1:29">
      <c r="A20" s="19"/>
      <c r="B20" s="20"/>
      <c r="C20" s="20"/>
      <c r="D20" s="20"/>
      <c r="E20" s="19"/>
      <c r="F20" s="20"/>
      <c r="G20" s="20"/>
      <c r="H20" s="20"/>
      <c r="I20" s="20"/>
      <c r="J20" s="21"/>
      <c r="K20" s="19"/>
      <c r="L20" s="21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1"/>
    </row>
    <row r="21" spans="1:29" ht="21" thickBot="1">
      <c r="A21" s="22"/>
      <c r="B21" s="23"/>
      <c r="C21" s="23"/>
      <c r="D21" s="23"/>
      <c r="E21" s="22"/>
      <c r="F21" s="23"/>
      <c r="G21" s="23"/>
      <c r="H21" s="23"/>
      <c r="I21" s="23"/>
      <c r="J21" s="24"/>
      <c r="K21" s="22"/>
      <c r="L21" s="24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4"/>
    </row>
    <row r="23" spans="1:29" ht="21" thickBot="1">
      <c r="A23" s="8" t="s">
        <v>193</v>
      </c>
    </row>
    <row r="24" spans="1:29" ht="21" thickBot="1">
      <c r="A24" s="13" t="s">
        <v>44</v>
      </c>
      <c r="B24" s="14"/>
      <c r="C24" s="14"/>
      <c r="D24" s="14"/>
      <c r="E24" s="13" t="s">
        <v>41</v>
      </c>
      <c r="F24" s="14"/>
      <c r="G24" s="14"/>
      <c r="H24" s="14"/>
      <c r="I24" s="14"/>
      <c r="J24" s="15"/>
      <c r="K24" s="38" t="s">
        <v>42</v>
      </c>
      <c r="L24" s="15"/>
      <c r="M24" s="38" t="s">
        <v>202</v>
      </c>
      <c r="N24" s="15"/>
      <c r="O24" s="14" t="s">
        <v>21</v>
      </c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5"/>
    </row>
    <row r="25" spans="1:29">
      <c r="A25" s="31" t="s">
        <v>188</v>
      </c>
      <c r="B25" s="32"/>
      <c r="C25" s="32"/>
      <c r="D25" s="32"/>
      <c r="E25" s="31" t="s">
        <v>167</v>
      </c>
      <c r="F25" s="32"/>
      <c r="G25" s="32"/>
      <c r="H25" s="32"/>
      <c r="I25" s="32"/>
      <c r="J25" s="33"/>
      <c r="K25" s="31" t="s">
        <v>159</v>
      </c>
      <c r="L25" s="33"/>
      <c r="M25" s="60" t="s">
        <v>203</v>
      </c>
      <c r="N25" s="33"/>
      <c r="O25" s="32" t="s">
        <v>200</v>
      </c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3"/>
    </row>
    <row r="26" spans="1:29">
      <c r="A26" s="19" t="s">
        <v>189</v>
      </c>
      <c r="B26" s="20"/>
      <c r="C26" s="20"/>
      <c r="D26" s="20"/>
      <c r="E26" s="19" t="s">
        <v>194</v>
      </c>
      <c r="F26" s="20"/>
      <c r="G26" s="20"/>
      <c r="H26" s="20"/>
      <c r="I26" s="20"/>
      <c r="J26" s="21"/>
      <c r="K26" s="19" t="s">
        <v>159</v>
      </c>
      <c r="L26" s="21"/>
      <c r="M26" s="61" t="s">
        <v>204</v>
      </c>
      <c r="N26" s="21"/>
      <c r="O26" s="20" t="s">
        <v>207</v>
      </c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1"/>
    </row>
    <row r="27" spans="1:29">
      <c r="A27" s="19" t="s">
        <v>190</v>
      </c>
      <c r="B27" s="20"/>
      <c r="C27" s="20"/>
      <c r="D27" s="20"/>
      <c r="E27" s="19" t="s">
        <v>194</v>
      </c>
      <c r="F27" s="20"/>
      <c r="G27" s="20"/>
      <c r="H27" s="20"/>
      <c r="I27" s="20"/>
      <c r="J27" s="21"/>
      <c r="K27" s="19" t="s">
        <v>159</v>
      </c>
      <c r="L27" s="21"/>
      <c r="M27" s="61" t="s">
        <v>205</v>
      </c>
      <c r="N27" s="21"/>
      <c r="O27" s="20" t="s">
        <v>201</v>
      </c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1"/>
    </row>
    <row r="28" spans="1:29">
      <c r="A28" s="19" t="s">
        <v>191</v>
      </c>
      <c r="B28" s="20"/>
      <c r="C28" s="20"/>
      <c r="D28" s="20"/>
      <c r="E28" s="19" t="s">
        <v>195</v>
      </c>
      <c r="F28" s="20"/>
      <c r="G28" s="20"/>
      <c r="H28" s="20"/>
      <c r="I28" s="20"/>
      <c r="J28" s="21"/>
      <c r="K28" s="19" t="s">
        <v>159</v>
      </c>
      <c r="L28" s="21"/>
      <c r="M28" s="19" t="s">
        <v>206</v>
      </c>
      <c r="N28" s="21"/>
      <c r="O28" s="20" t="s">
        <v>208</v>
      </c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1"/>
    </row>
    <row r="29" spans="1:29">
      <c r="A29" s="19"/>
      <c r="B29" s="20"/>
      <c r="C29" s="20"/>
      <c r="D29" s="20"/>
      <c r="E29" s="19"/>
      <c r="F29" s="20"/>
      <c r="G29" s="20"/>
      <c r="H29" s="20"/>
      <c r="I29" s="20"/>
      <c r="J29" s="21"/>
      <c r="K29" s="19"/>
      <c r="L29" s="21"/>
      <c r="M29" s="19"/>
      <c r="N29" s="21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1"/>
    </row>
    <row r="30" spans="1:29">
      <c r="A30" s="19"/>
      <c r="B30" s="20"/>
      <c r="C30" s="20"/>
      <c r="D30" s="20"/>
      <c r="E30" s="19"/>
      <c r="F30" s="20"/>
      <c r="G30" s="20"/>
      <c r="H30" s="20"/>
      <c r="I30" s="20"/>
      <c r="J30" s="21"/>
      <c r="K30" s="19"/>
      <c r="L30" s="21"/>
      <c r="M30" s="19"/>
      <c r="N30" s="21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1"/>
    </row>
    <row r="31" spans="1:29">
      <c r="A31" s="19"/>
      <c r="B31" s="20"/>
      <c r="C31" s="20"/>
      <c r="D31" s="20"/>
      <c r="E31" s="19"/>
      <c r="F31" s="20"/>
      <c r="G31" s="20"/>
      <c r="H31" s="20"/>
      <c r="I31" s="20"/>
      <c r="J31" s="21"/>
      <c r="K31" s="19"/>
      <c r="L31" s="21"/>
      <c r="M31" s="19"/>
      <c r="N31" s="21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1"/>
    </row>
    <row r="32" spans="1:29">
      <c r="A32" s="19"/>
      <c r="B32" s="20"/>
      <c r="C32" s="20"/>
      <c r="D32" s="20"/>
      <c r="E32" s="19"/>
      <c r="F32" s="20"/>
      <c r="G32" s="20"/>
      <c r="H32" s="20"/>
      <c r="I32" s="20"/>
      <c r="J32" s="21"/>
      <c r="K32" s="19"/>
      <c r="L32" s="21"/>
      <c r="M32" s="19"/>
      <c r="N32" s="21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1"/>
    </row>
    <row r="33" spans="1:29">
      <c r="A33" s="19"/>
      <c r="B33" s="20"/>
      <c r="C33" s="20"/>
      <c r="D33" s="20"/>
      <c r="E33" s="19"/>
      <c r="F33" s="20"/>
      <c r="G33" s="20"/>
      <c r="H33" s="20"/>
      <c r="I33" s="20"/>
      <c r="J33" s="21"/>
      <c r="K33" s="19"/>
      <c r="L33" s="21"/>
      <c r="M33" s="19"/>
      <c r="N33" s="21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1"/>
    </row>
    <row r="34" spans="1:29">
      <c r="A34" s="19"/>
      <c r="B34" s="20"/>
      <c r="C34" s="20"/>
      <c r="D34" s="20"/>
      <c r="E34" s="19"/>
      <c r="F34" s="20"/>
      <c r="G34" s="20"/>
      <c r="H34" s="20"/>
      <c r="I34" s="20"/>
      <c r="J34" s="21"/>
      <c r="K34" s="19"/>
      <c r="L34" s="21"/>
      <c r="M34" s="19"/>
      <c r="N34" s="21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1"/>
    </row>
    <row r="35" spans="1:29">
      <c r="A35" s="19"/>
      <c r="B35" s="20"/>
      <c r="C35" s="20"/>
      <c r="D35" s="20"/>
      <c r="E35" s="19"/>
      <c r="F35" s="20"/>
      <c r="G35" s="20"/>
      <c r="H35" s="20"/>
      <c r="I35" s="20"/>
      <c r="J35" s="21"/>
      <c r="K35" s="19"/>
      <c r="L35" s="21"/>
      <c r="M35" s="19"/>
      <c r="N35" s="21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1"/>
    </row>
    <row r="36" spans="1:29">
      <c r="A36" s="19"/>
      <c r="B36" s="20"/>
      <c r="C36" s="20"/>
      <c r="D36" s="20"/>
      <c r="E36" s="19"/>
      <c r="F36" s="20"/>
      <c r="G36" s="20"/>
      <c r="H36" s="20"/>
      <c r="I36" s="20"/>
      <c r="J36" s="21"/>
      <c r="K36" s="19"/>
      <c r="L36" s="21"/>
      <c r="M36" s="19"/>
      <c r="N36" s="21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1"/>
    </row>
    <row r="37" spans="1:29">
      <c r="A37" s="19"/>
      <c r="B37" s="20"/>
      <c r="C37" s="20"/>
      <c r="D37" s="20"/>
      <c r="E37" s="19"/>
      <c r="F37" s="20"/>
      <c r="G37" s="20"/>
      <c r="H37" s="20"/>
      <c r="I37" s="20"/>
      <c r="J37" s="21"/>
      <c r="K37" s="19"/>
      <c r="L37" s="21"/>
      <c r="M37" s="19"/>
      <c r="N37" s="21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1"/>
    </row>
    <row r="38" spans="1:29">
      <c r="A38" s="19"/>
      <c r="B38" s="20"/>
      <c r="C38" s="20"/>
      <c r="D38" s="20"/>
      <c r="E38" s="19"/>
      <c r="F38" s="20"/>
      <c r="G38" s="20"/>
      <c r="H38" s="20"/>
      <c r="I38" s="20"/>
      <c r="J38" s="21"/>
      <c r="K38" s="19"/>
      <c r="L38" s="21"/>
      <c r="M38" s="19"/>
      <c r="N38" s="21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1"/>
    </row>
    <row r="39" spans="1:29">
      <c r="A39" s="19"/>
      <c r="B39" s="20"/>
      <c r="C39" s="20"/>
      <c r="D39" s="20"/>
      <c r="E39" s="19"/>
      <c r="F39" s="20"/>
      <c r="G39" s="20"/>
      <c r="H39" s="20"/>
      <c r="I39" s="20"/>
      <c r="J39" s="21"/>
      <c r="K39" s="19"/>
      <c r="L39" s="21"/>
      <c r="M39" s="19"/>
      <c r="N39" s="21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1"/>
    </row>
    <row r="40" spans="1:29" ht="21" thickBot="1">
      <c r="A40" s="22"/>
      <c r="B40" s="23"/>
      <c r="C40" s="23"/>
      <c r="D40" s="23"/>
      <c r="E40" s="22"/>
      <c r="F40" s="23"/>
      <c r="G40" s="23"/>
      <c r="H40" s="23"/>
      <c r="I40" s="23"/>
      <c r="J40" s="24"/>
      <c r="K40" s="22"/>
      <c r="L40" s="24"/>
      <c r="M40" s="22"/>
      <c r="N40" s="24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DCFC-3540-C441-BD79-62285C7BA9B4}">
  <dimension ref="A1:AC37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>
      <c r="A4" s="8" t="s">
        <v>46</v>
      </c>
    </row>
    <row r="5" spans="1:29">
      <c r="A5" t="s">
        <v>17</v>
      </c>
      <c r="B5" t="s">
        <v>196</v>
      </c>
    </row>
    <row r="7" spans="1:29">
      <c r="A7" s="8" t="s">
        <v>60</v>
      </c>
    </row>
    <row r="8" spans="1:29">
      <c r="A8" t="s">
        <v>17</v>
      </c>
      <c r="B8" t="s">
        <v>209</v>
      </c>
    </row>
    <row r="9" spans="1:29">
      <c r="A9" s="8" t="s">
        <v>17</v>
      </c>
      <c r="B9" t="s">
        <v>210</v>
      </c>
    </row>
    <row r="10" spans="1:29">
      <c r="A10" s="8"/>
    </row>
    <row r="11" spans="1:29">
      <c r="A11" s="8" t="s">
        <v>45</v>
      </c>
    </row>
    <row r="12" spans="1:29">
      <c r="A12" s="8" t="s">
        <v>17</v>
      </c>
      <c r="B12" t="s">
        <v>211</v>
      </c>
    </row>
    <row r="13" spans="1:29">
      <c r="A13" s="8" t="s">
        <v>61</v>
      </c>
    </row>
    <row r="14" spans="1:29">
      <c r="A14" s="8" t="s">
        <v>17</v>
      </c>
      <c r="B14" t="s">
        <v>212</v>
      </c>
    </row>
    <row r="15" spans="1:29">
      <c r="A15" s="8" t="s">
        <v>17</v>
      </c>
      <c r="B15" t="s">
        <v>213</v>
      </c>
    </row>
    <row r="16" spans="1:29">
      <c r="A16" s="8" t="s">
        <v>17</v>
      </c>
      <c r="B16" t="s">
        <v>214</v>
      </c>
    </row>
    <row r="17" spans="1:2">
      <c r="A17" s="8" t="s">
        <v>17</v>
      </c>
      <c r="B17" t="s">
        <v>215</v>
      </c>
    </row>
    <row r="18" spans="1:2">
      <c r="A18" s="8" t="s">
        <v>17</v>
      </c>
      <c r="B18" t="s">
        <v>216</v>
      </c>
    </row>
    <row r="19" spans="1:2">
      <c r="A19" s="8"/>
    </row>
    <row r="20" spans="1:2">
      <c r="A20" s="8" t="s">
        <v>62</v>
      </c>
    </row>
    <row r="21" spans="1:2">
      <c r="A21" s="8" t="s">
        <v>17</v>
      </c>
      <c r="B21" t="s">
        <v>217</v>
      </c>
    </row>
    <row r="22" spans="1:2">
      <c r="A22" s="8" t="s">
        <v>17</v>
      </c>
      <c r="B22" t="s">
        <v>218</v>
      </c>
    </row>
    <row r="23" spans="1:2">
      <c r="A23" s="8"/>
    </row>
    <row r="24" spans="1:2">
      <c r="A24" s="8" t="s">
        <v>63</v>
      </c>
    </row>
    <row r="25" spans="1:2">
      <c r="A25" s="8" t="s">
        <v>17</v>
      </c>
      <c r="B25" t="s">
        <v>219</v>
      </c>
    </row>
    <row r="26" spans="1:2">
      <c r="A26" s="8" t="s">
        <v>17</v>
      </c>
      <c r="B26" t="s">
        <v>220</v>
      </c>
    </row>
    <row r="28" spans="1:2">
      <c r="A28" s="8" t="s">
        <v>64</v>
      </c>
    </row>
    <row r="29" spans="1:2">
      <c r="A29" s="8" t="s">
        <v>17</v>
      </c>
      <c r="B29" t="s">
        <v>221</v>
      </c>
    </row>
    <row r="31" spans="1:2">
      <c r="A31" s="8" t="s">
        <v>225</v>
      </c>
    </row>
    <row r="32" spans="1:2">
      <c r="A32" s="8" t="s">
        <v>17</v>
      </c>
      <c r="B32" t="s">
        <v>226</v>
      </c>
    </row>
    <row r="34" spans="1:2">
      <c r="A34" s="8" t="s">
        <v>47</v>
      </c>
    </row>
    <row r="35" spans="1:2">
      <c r="A35" s="8" t="s">
        <v>17</v>
      </c>
      <c r="B35" t="s">
        <v>222</v>
      </c>
    </row>
    <row r="36" spans="1:2">
      <c r="A36" s="8" t="s">
        <v>17</v>
      </c>
      <c r="B36" t="s">
        <v>223</v>
      </c>
    </row>
    <row r="37" spans="1:2">
      <c r="A37" s="8" t="s">
        <v>17</v>
      </c>
      <c r="B37" t="s">
        <v>224</v>
      </c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A3D33-3407-A342-B73F-B4A30E3EEEC9}">
  <dimension ref="A1:AC23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>
      <c r="A4" s="8" t="s">
        <v>227</v>
      </c>
    </row>
    <row r="5" spans="1:29">
      <c r="A5" s="39" t="s">
        <v>17</v>
      </c>
      <c r="B5" t="s">
        <v>228</v>
      </c>
    </row>
    <row r="7" spans="1:29">
      <c r="A7" s="8" t="s">
        <v>52</v>
      </c>
    </row>
    <row r="8" spans="1:29">
      <c r="A8" s="39" t="s">
        <v>17</v>
      </c>
      <c r="B8" t="s">
        <v>229</v>
      </c>
    </row>
    <row r="9" spans="1:29">
      <c r="A9" s="39"/>
    </row>
    <row r="10" spans="1:29">
      <c r="A10" s="8" t="s">
        <v>53</v>
      </c>
    </row>
    <row r="11" spans="1:29">
      <c r="A11" s="39" t="s">
        <v>17</v>
      </c>
      <c r="B11" t="s">
        <v>230</v>
      </c>
    </row>
    <row r="13" spans="1:29">
      <c r="A13" s="8" t="s">
        <v>48</v>
      </c>
    </row>
    <row r="14" spans="1:29">
      <c r="A14" s="39" t="s">
        <v>17</v>
      </c>
      <c r="B14" t="s">
        <v>135</v>
      </c>
      <c r="E14" t="s">
        <v>231</v>
      </c>
      <c r="F14" t="s">
        <v>232</v>
      </c>
      <c r="G14" t="s">
        <v>231</v>
      </c>
      <c r="H14" t="s">
        <v>137</v>
      </c>
      <c r="J14" t="s">
        <v>231</v>
      </c>
      <c r="K14" t="s">
        <v>138</v>
      </c>
    </row>
    <row r="16" spans="1:29">
      <c r="A16" s="8" t="s">
        <v>54</v>
      </c>
    </row>
    <row r="17" spans="1:2">
      <c r="A17" s="39" t="s">
        <v>17</v>
      </c>
      <c r="B17" t="s">
        <v>233</v>
      </c>
    </row>
    <row r="18" spans="1:2">
      <c r="A18" s="39"/>
    </row>
    <row r="19" spans="1:2">
      <c r="A19" s="8" t="s">
        <v>55</v>
      </c>
    </row>
    <row r="20" spans="1:2">
      <c r="A20" s="39" t="s">
        <v>17</v>
      </c>
      <c r="B20" t="s">
        <v>234</v>
      </c>
    </row>
    <row r="22" spans="1:2">
      <c r="A22" s="8" t="s">
        <v>49</v>
      </c>
    </row>
    <row r="23" spans="1:2">
      <c r="A23" s="39" t="s">
        <v>17</v>
      </c>
      <c r="B23" t="s">
        <v>235</v>
      </c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13C21-6044-E54B-8B6F-406C63639072}">
  <dimension ref="A1:AC20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>
      <c r="A4" s="8" t="s">
        <v>50</v>
      </c>
    </row>
    <row r="5" spans="1:29">
      <c r="A5" s="39" t="s">
        <v>17</v>
      </c>
      <c r="B5" t="s">
        <v>236</v>
      </c>
    </row>
    <row r="7" spans="1:29">
      <c r="A7" s="8" t="s">
        <v>51</v>
      </c>
    </row>
    <row r="8" spans="1:29">
      <c r="A8" s="39" t="s">
        <v>17</v>
      </c>
      <c r="B8" t="s">
        <v>237</v>
      </c>
    </row>
    <row r="10" spans="1:29">
      <c r="A10" s="43" t="s">
        <v>56</v>
      </c>
    </row>
    <row r="11" spans="1:29">
      <c r="A11" s="39" t="s">
        <v>17</v>
      </c>
      <c r="B11" t="s">
        <v>238</v>
      </c>
    </row>
    <row r="13" spans="1:29">
      <c r="A13" s="8" t="s">
        <v>57</v>
      </c>
    </row>
    <row r="14" spans="1:29">
      <c r="A14" t="s">
        <v>17</v>
      </c>
      <c r="B14" t="s">
        <v>239</v>
      </c>
    </row>
    <row r="16" spans="1:29">
      <c r="A16" s="8" t="s">
        <v>58</v>
      </c>
    </row>
    <row r="17" spans="1:2">
      <c r="A17" t="s">
        <v>17</v>
      </c>
      <c r="B17" t="s">
        <v>240</v>
      </c>
    </row>
    <row r="19" spans="1:2">
      <c r="A19" s="8" t="s">
        <v>59</v>
      </c>
    </row>
    <row r="20" spans="1:2">
      <c r="A20" t="s">
        <v>17</v>
      </c>
      <c r="B20" t="s">
        <v>241</v>
      </c>
    </row>
  </sheetData>
  <mergeCells count="2">
    <mergeCell ref="A1:C1"/>
    <mergeCell ref="A2:C2"/>
  </mergeCells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653DE-793D-AF46-B501-44461604D87A}">
  <dimension ref="A1:AC30"/>
  <sheetViews>
    <sheetView showGridLines="0" workbookViewId="0">
      <selection sqref="A1:C1"/>
    </sheetView>
  </sheetViews>
  <sheetFormatPr baseColWidth="10" defaultColWidth="4" defaultRowHeight="20"/>
  <sheetData>
    <row r="1" spans="1:29" ht="21" thickBot="1">
      <c r="A1" s="70" t="s">
        <v>4</v>
      </c>
      <c r="B1" s="71"/>
      <c r="C1" s="72"/>
      <c r="D1" s="9" t="str">
        <f>ProjectName</f>
        <v>BusinessAutomationTools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1"/>
      <c r="U1" s="13" t="s">
        <v>7</v>
      </c>
      <c r="V1" s="14"/>
      <c r="W1" s="15"/>
      <c r="X1" s="9" t="str" cm="1">
        <f t="array" aca="1" ref="X1" ca="1">INDIRECT("02_改版履歴!F"&amp;CELL("row", _xlfn.XLOOKUP(MAX(ModNoRange), ModNoRange, ModNoRange)))</f>
        <v>2026/07/08</v>
      </c>
      <c r="Y1" s="10"/>
      <c r="Z1" s="10"/>
      <c r="AA1" s="10"/>
      <c r="AB1" s="10"/>
      <c r="AC1" s="11"/>
    </row>
    <row r="2" spans="1:29" ht="21" thickBot="1">
      <c r="A2" s="73" t="s">
        <v>5</v>
      </c>
      <c r="B2" s="74"/>
      <c r="C2" s="75"/>
      <c r="D2" s="5" t="str">
        <f>SystemName</f>
        <v>CSVBusinessFormatter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7"/>
      <c r="U2" s="16" t="s">
        <v>8</v>
      </c>
      <c r="V2" s="17"/>
      <c r="W2" s="18"/>
      <c r="X2" s="5" t="str" cm="1">
        <f t="array" aca="1" ref="X2" ca="1">INDIRECT("02_改版履歴!I"&amp;CELL("row", _xlfn.XLOOKUP(MAX(ModNoRange), ModNoRange, ModNoRange)))</f>
        <v>Florian Seto Jose Satoshi</v>
      </c>
      <c r="Y2" s="6"/>
      <c r="Z2" s="6"/>
      <c r="AA2" s="6"/>
      <c r="AB2" s="6"/>
      <c r="AC2" s="7"/>
    </row>
    <row r="4" spans="1:29" ht="21" thickBot="1">
      <c r="A4" s="8" t="s">
        <v>66</v>
      </c>
    </row>
    <row r="5" spans="1:29" ht="21" thickBot="1">
      <c r="A5" s="13" t="s">
        <v>67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13" t="s">
        <v>65</v>
      </c>
      <c r="M5" s="35"/>
      <c r="N5" s="35"/>
      <c r="O5" s="35"/>
      <c r="P5" s="35"/>
      <c r="Q5" s="35"/>
      <c r="R5" s="35"/>
      <c r="S5" s="35"/>
      <c r="T5" s="35"/>
      <c r="U5" s="35"/>
      <c r="V5" s="35"/>
      <c r="W5" s="45"/>
      <c r="X5" s="45"/>
      <c r="Y5" s="34"/>
      <c r="Z5" s="35" t="s">
        <v>23</v>
      </c>
      <c r="AA5" s="35"/>
      <c r="AB5" s="35"/>
      <c r="AC5" s="34"/>
    </row>
    <row r="6" spans="1:29">
      <c r="A6" s="31" t="s">
        <v>242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1" t="s">
        <v>246</v>
      </c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3"/>
      <c r="Z6" s="42" t="s">
        <v>250</v>
      </c>
      <c r="AA6" s="32"/>
      <c r="AB6" s="32"/>
      <c r="AC6" s="33"/>
    </row>
    <row r="7" spans="1:29">
      <c r="A7" s="19" t="s">
        <v>243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19" t="s">
        <v>247</v>
      </c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1"/>
      <c r="Z7" s="41" t="s">
        <v>250</v>
      </c>
      <c r="AA7" s="20"/>
      <c r="AB7" s="20"/>
      <c r="AC7" s="21"/>
    </row>
    <row r="8" spans="1:29">
      <c r="A8" s="19" t="s">
        <v>244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19" t="s">
        <v>248</v>
      </c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1"/>
      <c r="Z8" s="41" t="s">
        <v>251</v>
      </c>
      <c r="AA8" s="20"/>
      <c r="AB8" s="20"/>
      <c r="AC8" s="21"/>
    </row>
    <row r="9" spans="1:29">
      <c r="A9" s="19" t="s">
        <v>245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19" t="s">
        <v>249</v>
      </c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1"/>
      <c r="Z9" s="41" t="s">
        <v>252</v>
      </c>
      <c r="AA9" s="20"/>
      <c r="AB9" s="20"/>
      <c r="AC9" s="21"/>
    </row>
    <row r="10" spans="1:29">
      <c r="A10" s="44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19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1"/>
      <c r="Z10" s="20"/>
      <c r="AA10" s="20"/>
      <c r="AB10" s="20"/>
      <c r="AC10" s="21"/>
    </row>
    <row r="11" spans="1:29">
      <c r="A11" s="36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19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1"/>
      <c r="Z11" s="20"/>
      <c r="AA11" s="20"/>
      <c r="AB11" s="20"/>
      <c r="AC11" s="21"/>
    </row>
    <row r="12" spans="1:29">
      <c r="A12" s="19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19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1"/>
      <c r="Z12" s="20"/>
      <c r="AA12" s="20"/>
      <c r="AB12" s="20"/>
      <c r="AC12" s="21"/>
    </row>
    <row r="13" spans="1:29">
      <c r="A13" s="44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19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1"/>
      <c r="Z13" s="20"/>
      <c r="AA13" s="20"/>
      <c r="AB13" s="20"/>
      <c r="AC13" s="21"/>
    </row>
    <row r="14" spans="1:29">
      <c r="A14" s="19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19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1"/>
      <c r="Z14" s="20"/>
      <c r="AA14" s="20"/>
      <c r="AB14" s="20"/>
      <c r="AC14" s="21"/>
    </row>
    <row r="15" spans="1:29">
      <c r="A15" s="19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19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1"/>
      <c r="Z15" s="20"/>
      <c r="AA15" s="20"/>
      <c r="AB15" s="20"/>
      <c r="AC15" s="21"/>
    </row>
    <row r="16" spans="1:29">
      <c r="A16" s="44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19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1"/>
      <c r="Z16" s="20"/>
      <c r="AA16" s="20"/>
      <c r="AB16" s="20"/>
      <c r="AC16" s="21"/>
    </row>
    <row r="17" spans="1:29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19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1"/>
      <c r="Z17" s="20"/>
      <c r="AA17" s="20"/>
      <c r="AB17" s="20"/>
      <c r="AC17" s="21"/>
    </row>
    <row r="18" spans="1:29">
      <c r="A18" s="44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19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1"/>
      <c r="Z18" s="20"/>
      <c r="AA18" s="20"/>
      <c r="AB18" s="20"/>
      <c r="AC18" s="21"/>
    </row>
    <row r="19" spans="1:29">
      <c r="A19" s="36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19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1"/>
      <c r="Z19" s="20"/>
      <c r="AA19" s="20"/>
      <c r="AB19" s="20"/>
      <c r="AC19" s="21"/>
    </row>
    <row r="20" spans="1:29">
      <c r="A20" s="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19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1"/>
      <c r="Z20" s="20"/>
      <c r="AA20" s="20"/>
      <c r="AB20" s="20"/>
      <c r="AC20" s="21"/>
    </row>
    <row r="21" spans="1:29">
      <c r="A21" s="19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19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1"/>
      <c r="Z21" s="20"/>
      <c r="AA21" s="20"/>
      <c r="AB21" s="20"/>
      <c r="AC21" s="21"/>
    </row>
    <row r="22" spans="1:29">
      <c r="A22" s="19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19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1"/>
      <c r="Z22" s="20"/>
      <c r="AA22" s="20"/>
      <c r="AB22" s="20"/>
      <c r="AC22" s="21"/>
    </row>
    <row r="23" spans="1:29">
      <c r="A23" s="19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19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1"/>
      <c r="Z23" s="20"/>
      <c r="AA23" s="20"/>
      <c r="AB23" s="20"/>
      <c r="AC23" s="21"/>
    </row>
    <row r="24" spans="1:29">
      <c r="A24" s="19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19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1"/>
      <c r="Z24" s="20"/>
      <c r="AA24" s="20"/>
      <c r="AB24" s="20"/>
      <c r="AC24" s="21"/>
    </row>
    <row r="25" spans="1:29">
      <c r="A25" s="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19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1"/>
      <c r="Z25" s="20"/>
      <c r="AA25" s="20"/>
      <c r="AB25" s="20"/>
      <c r="AC25" s="21"/>
    </row>
    <row r="26" spans="1:29">
      <c r="A26" s="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19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  <c r="Z26" s="20"/>
      <c r="AA26" s="20"/>
      <c r="AB26" s="20"/>
      <c r="AC26" s="21"/>
    </row>
    <row r="27" spans="1:29">
      <c r="A27" s="19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19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/>
      <c r="Z27" s="20"/>
      <c r="AA27" s="20"/>
      <c r="AB27" s="20"/>
      <c r="AC27" s="21"/>
    </row>
    <row r="28" spans="1:29">
      <c r="A28" s="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19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1"/>
      <c r="Z28" s="20"/>
      <c r="AA28" s="20"/>
      <c r="AB28" s="20"/>
      <c r="AC28" s="21"/>
    </row>
    <row r="29" spans="1:29">
      <c r="A29" s="19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19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1"/>
      <c r="Z29" s="20"/>
      <c r="AA29" s="20"/>
      <c r="AB29" s="20"/>
      <c r="AC29" s="21"/>
    </row>
    <row r="30" spans="1:29" ht="21" thickBot="1">
      <c r="A30" s="22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2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4"/>
      <c r="Z30" s="23"/>
      <c r="AA30" s="23"/>
      <c r="AB30" s="23"/>
      <c r="AC30" s="24"/>
    </row>
  </sheetData>
  <mergeCells count="2">
    <mergeCell ref="A1:C1"/>
    <mergeCell ref="A2:C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17</vt:i4>
      </vt:variant>
      <vt:variant>
        <vt:lpstr>名前付き一覧</vt:lpstr>
      </vt:variant>
      <vt:variant>
        <vt:i4>6</vt:i4>
      </vt:variant>
    </vt:vector>
  </HeadingPairs>
  <TitlesOfParts>
    <vt:vector size="23" baseType="lpstr">
      <vt:lpstr>プロパティ</vt:lpstr>
      <vt:lpstr>01_表紙</vt:lpstr>
      <vt:lpstr>02_改版履歴</vt:lpstr>
      <vt:lpstr>03_プロジェクト概要</vt:lpstr>
      <vt:lpstr>04_現場業務</vt:lpstr>
      <vt:lpstr>05_課題整理</vt:lpstr>
      <vt:lpstr>06_要求一覧</vt:lpstr>
      <vt:lpstr>07_機能一覧</vt:lpstr>
      <vt:lpstr>08_業務フロー</vt:lpstr>
      <vt:lpstr>09_画面設計</vt:lpstr>
      <vt:lpstr>10_入力設計</vt:lpstr>
      <vt:lpstr>11_出力設計</vt:lpstr>
      <vt:lpstr>12_データ設計</vt:lpstr>
      <vt:lpstr>13_非機能要件</vt:lpstr>
      <vt:lpstr>14_開発計画</vt:lpstr>
      <vt:lpstr>15_テスト方針</vt:lpstr>
      <vt:lpstr>16_今後の改善</vt:lpstr>
      <vt:lpstr>Author</vt:lpstr>
      <vt:lpstr>ModNoRange</vt:lpstr>
      <vt:lpstr>ProgramName</vt:lpstr>
      <vt:lpstr>ProjectCreateDate</vt:lpstr>
      <vt:lpstr>ProjectName</vt:lpstr>
      <vt:lpstr>SystemName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Florian</dc:creator>
  <cp:lastModifiedBy>Carlos Florian</cp:lastModifiedBy>
  <dcterms:created xsi:type="dcterms:W3CDTF">2026-06-08T03:14:42Z</dcterms:created>
  <dcterms:modified xsi:type="dcterms:W3CDTF">2026-07-09T11:56:49Z</dcterms:modified>
</cp:coreProperties>
</file>