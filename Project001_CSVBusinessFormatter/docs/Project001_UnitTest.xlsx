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floriansetojosesatoshi/Development/BusinessAutomationTools/Project001_CSVBusinessFormatter/docs/"/>
    </mc:Choice>
  </mc:AlternateContent>
  <xr:revisionPtr revIDLastSave="0" documentId="13_ncr:1_{82D8D97E-FA45-B946-AF35-8C5DD190B80D}" xr6:coauthVersionLast="47" xr6:coauthVersionMax="47" xr10:uidLastSave="{00000000-0000-0000-0000-000000000000}"/>
  <bookViews>
    <workbookView xWindow="0" yWindow="600" windowWidth="38400" windowHeight="19440" activeTab="4" xr2:uid="{FE744E13-58AD-3746-BA7C-E3290E428FD0}"/>
  </bookViews>
  <sheets>
    <sheet name="プロパティ" sheetId="1" r:id="rId1"/>
    <sheet name="01_表紙" sheetId="2" r:id="rId2"/>
    <sheet name="02_改版履歴" sheetId="8" r:id="rId3"/>
    <sheet name="03_テスト概要" sheetId="7" r:id="rId4"/>
    <sheet name="04_単体テスト一覧" sheetId="9" r:id="rId5"/>
  </sheets>
  <definedNames>
    <definedName name="Author">プロパティ!$E$6</definedName>
    <definedName name="ModNoRange">'02_改版履歴'!$A$5:$A$100</definedName>
    <definedName name="ProgramName">プロパティ!$E$4</definedName>
    <definedName name="ProjectCreateDate">プロパティ!$E$5</definedName>
    <definedName name="ProjectName">プロパティ!$E$2</definedName>
    <definedName name="SystemName">プロパティ!$E$3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1" l="1"/>
  <c r="AK2" i="9" a="1"/>
  <c r="D2" i="9"/>
  <c r="D1" i="9"/>
  <c r="G16" i="2" a="1"/>
  <c r="X2" i="7" a="1"/>
  <c r="X2" i="8" a="1"/>
  <c r="G12" i="2"/>
  <c r="G14" i="2"/>
  <c r="E7" i="2"/>
  <c r="D2" i="7"/>
  <c r="D1" i="7"/>
  <c r="I5" i="8"/>
  <c r="D2" i="8"/>
  <c r="D1" i="8"/>
  <c r="J19" i="2"/>
  <c r="F5" i="8" l="1"/>
  <c r="J18" i="2"/>
  <c r="X1" i="8" l="1" a="1"/>
  <c r="X1" i="7" a="1"/>
  <c r="J20" i="2" a="1"/>
  <c r="AK1" i="9"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<sst xmlns="http://schemas.openxmlformats.org/spreadsheetml/2006/main" count="743" uniqueCount="352">
  <si>
    <t>作成日</t>
    <rPh sb="0" eb="3">
      <t>サクセイ</t>
    </rPh>
    <phoneticPr fontId="1"/>
  </si>
  <si>
    <t>作成者</t>
    <rPh sb="0" eb="1">
      <t>サクセイ</t>
    </rPh>
    <phoneticPr fontId="1"/>
  </si>
  <si>
    <t>承認者</t>
    <rPh sb="0" eb="3">
      <t>ショウ</t>
    </rPh>
    <phoneticPr fontId="1"/>
  </si>
  <si>
    <t>プロジェクト名</t>
    <phoneticPr fontId="1"/>
  </si>
  <si>
    <t>プロジェクト</t>
    <phoneticPr fontId="1"/>
  </si>
  <si>
    <t>システム名</t>
    <phoneticPr fontId="1"/>
  </si>
  <si>
    <t>プログラム名</t>
    <phoneticPr fontId="1"/>
  </si>
  <si>
    <t>改定日</t>
    <rPh sb="0" eb="2">
      <t>カイテ</t>
    </rPh>
    <rPh sb="2" eb="3">
      <t xml:space="preserve">ビ </t>
    </rPh>
    <phoneticPr fontId="1"/>
  </si>
  <si>
    <t>改定者</t>
    <rPh sb="0" eb="3">
      <t>カイテ</t>
    </rPh>
    <phoneticPr fontId="1"/>
  </si>
  <si>
    <t>項番</t>
    <rPh sb="0" eb="1">
      <t>コウモク</t>
    </rPh>
    <rPh sb="1" eb="2">
      <t>バンゴウ</t>
    </rPh>
    <phoneticPr fontId="1"/>
  </si>
  <si>
    <t>改訂者</t>
    <rPh sb="0" eb="3">
      <t>カイテ</t>
    </rPh>
    <phoneticPr fontId="1"/>
  </si>
  <si>
    <t>対象</t>
    <rPh sb="0" eb="2">
      <t>タイショウ</t>
    </rPh>
    <phoneticPr fontId="1"/>
  </si>
  <si>
    <t>改訂内容</t>
    <rPh sb="0" eb="4">
      <t>カイテ</t>
    </rPh>
    <phoneticPr fontId="1"/>
  </si>
  <si>
    <t>改訂理由</t>
    <rPh sb="0" eb="4">
      <t>カイテ</t>
    </rPh>
    <phoneticPr fontId="1"/>
  </si>
  <si>
    <t>ー</t>
    <phoneticPr fontId="1"/>
  </si>
  <si>
    <t>新規作成</t>
    <rPh sb="0" eb="4">
      <t>シンキ</t>
    </rPh>
    <phoneticPr fontId="1"/>
  </si>
  <si>
    <t>目的</t>
    <rPh sb="0" eb="2">
      <t>モクテキ</t>
    </rPh>
    <phoneticPr fontId="1"/>
  </si>
  <si>
    <t>・</t>
    <phoneticPr fontId="1"/>
  </si>
  <si>
    <t>現行バージョン</t>
    <rPh sb="0" eb="2">
      <t>ゲンコウ</t>
    </rPh>
    <phoneticPr fontId="1"/>
  </si>
  <si>
    <t>バージョン</t>
    <phoneticPr fontId="1"/>
  </si>
  <si>
    <t>最終更新日</t>
    <rPh sb="0" eb="5">
      <t>サイシュウ</t>
    </rPh>
    <phoneticPr fontId="1"/>
  </si>
  <si>
    <t>【プログラム】</t>
    <phoneticPr fontId="1"/>
  </si>
  <si>
    <t>【承認者名】</t>
    <rPh sb="1" eb="5">
      <t>ショウニn</t>
    </rPh>
    <phoneticPr fontId="1"/>
  </si>
  <si>
    <t>正常系</t>
    <rPh sb="0" eb="3">
      <t>セイジョウ</t>
    </rPh>
    <phoneticPr fontId="1"/>
  </si>
  <si>
    <t>異常系</t>
    <rPh sb="0" eb="3">
      <t>イジョウ</t>
    </rPh>
    <phoneticPr fontId="1"/>
  </si>
  <si>
    <t>対象モジュール</t>
    <rPh sb="0" eb="2">
      <t>タイショウモジ</t>
    </rPh>
    <phoneticPr fontId="1"/>
  </si>
  <si>
    <t>合否判定基準</t>
    <rPh sb="0" eb="6">
      <t>ゴウヒ</t>
    </rPh>
    <phoneticPr fontId="1"/>
  </si>
  <si>
    <t>テスト環境</t>
    <phoneticPr fontId="1"/>
  </si>
  <si>
    <t>テスト方針</t>
    <rPh sb="3" eb="5">
      <t>ホウシn</t>
    </rPh>
    <phoneticPr fontId="1"/>
  </si>
  <si>
    <t>主なテスト対象</t>
    <rPh sb="0" eb="1">
      <t>オモナ</t>
    </rPh>
    <phoneticPr fontId="1"/>
  </si>
  <si>
    <t>モジュールNo</t>
    <phoneticPr fontId="1"/>
  </si>
  <si>
    <t>M001</t>
    <phoneticPr fontId="1"/>
  </si>
  <si>
    <t>M002</t>
    <phoneticPr fontId="1"/>
  </si>
  <si>
    <t>M003</t>
    <phoneticPr fontId="1"/>
  </si>
  <si>
    <t>M004</t>
  </si>
  <si>
    <t>M005</t>
  </si>
  <si>
    <t>単体テスト一覧</t>
    <rPh sb="0" eb="2">
      <t>タンタイ</t>
    </rPh>
    <phoneticPr fontId="1"/>
  </si>
  <si>
    <t>テストNo</t>
    <phoneticPr fontId="1"/>
  </si>
  <si>
    <t>機能ID</t>
    <rPh sb="0" eb="2">
      <t xml:space="preserve">キノウ </t>
    </rPh>
    <phoneticPr fontId="1"/>
  </si>
  <si>
    <t>区分</t>
    <rPh sb="0" eb="2">
      <t>クブn</t>
    </rPh>
    <phoneticPr fontId="1"/>
  </si>
  <si>
    <t>テスト項目</t>
    <phoneticPr fontId="1"/>
  </si>
  <si>
    <t>入力・前提条件</t>
    <rPh sb="0" eb="2">
      <t>ニュウリョク</t>
    </rPh>
    <rPh sb="3" eb="7">
      <t>ゼンテイ</t>
    </rPh>
    <phoneticPr fontId="1"/>
  </si>
  <si>
    <t>期待結果</t>
    <rPh sb="0" eb="4">
      <t>キタイ</t>
    </rPh>
    <phoneticPr fontId="1"/>
  </si>
  <si>
    <t>実施結果</t>
    <rPh sb="0" eb="4">
      <t>ジッセィ</t>
    </rPh>
    <phoneticPr fontId="1"/>
  </si>
  <si>
    <t>T001</t>
    <phoneticPr fontId="1"/>
  </si>
  <si>
    <t>T002</t>
    <phoneticPr fontId="1"/>
  </si>
  <si>
    <t>T003</t>
    <phoneticPr fontId="1"/>
  </si>
  <si>
    <t>T004</t>
    <phoneticPr fontId="1"/>
  </si>
  <si>
    <t>T005</t>
    <phoneticPr fontId="1"/>
  </si>
  <si>
    <t>F-001</t>
    <phoneticPr fontId="1"/>
  </si>
  <si>
    <t>F-002</t>
    <phoneticPr fontId="1"/>
  </si>
  <si>
    <t>F-003</t>
    <phoneticPr fontId="1"/>
  </si>
  <si>
    <t>正常系</t>
    <rPh sb="0" eb="1">
      <t>セイジョウ</t>
    </rPh>
    <phoneticPr fontId="1"/>
  </si>
  <si>
    <t>未実施</t>
    <rPh sb="0" eb="3">
      <t>ミジッセィ</t>
    </rPh>
    <phoneticPr fontId="1"/>
  </si>
  <si>
    <t>未実施</t>
    <rPh sb="0" eb="1">
      <t>ミジッセィ</t>
    </rPh>
    <phoneticPr fontId="1"/>
  </si>
  <si>
    <t>srcフォルダ配下の各モジュールについて、正常系および異常系の動作を確認する。</t>
    <phoneticPr fontId="1"/>
  </si>
  <si>
    <t>優先度</t>
    <rPh sb="0" eb="3">
      <t>ユウセンド</t>
    </rPh>
    <phoneticPr fontId="1"/>
  </si>
  <si>
    <t>対象Version</t>
    <rPh sb="0" eb="2">
      <t>タイショウ</t>
    </rPh>
    <phoneticPr fontId="1"/>
  </si>
  <si>
    <t>モジュール</t>
    <phoneticPr fontId="1"/>
  </si>
  <si>
    <t>備考</t>
    <rPh sb="0" eb="2">
      <t>ビコウ</t>
    </rPh>
    <phoneticPr fontId="1"/>
  </si>
  <si>
    <t>BusinessAutomationTools</t>
    <phoneticPr fontId="1"/>
  </si>
  <si>
    <t>CSVBusinessFormatter</t>
    <phoneticPr fontId="1"/>
  </si>
  <si>
    <t>Florian Seto Jose Satoshi</t>
    <phoneticPr fontId="1"/>
  </si>
  <si>
    <t>テストフレームワークは `pytest` を想定する。</t>
  </si>
  <si>
    <t>ファイルを扱うテストでは、テストごとに一時フォルダを作成して使用する。</t>
  </si>
  <si>
    <t>外部関数、現在日時、ログ設定などは、単体テストの対象に応じてモック化する。</t>
  </si>
  <si>
    <t>DataFrame の確認では、値、列名、列順、データ型、および元データが変更されていないことを確認する。</t>
  </si>
  <si>
    <t>例外の確認では、例外型に加えて、業務上重要なメッセージも確認する。</t>
  </si>
  <si>
    <t>「実施結果」欄はテスト実施時に「OK」または「NG」を記入する。初期値は「未実施」とする。</t>
  </si>
  <si>
    <t>csv_reader.py</t>
  </si>
  <si>
    <t>data_formatter.py</t>
    <phoneticPr fontId="1"/>
  </si>
  <si>
    <t>excel_writer.py</t>
    <phoneticPr fontId="1"/>
  </si>
  <si>
    <t>logging_config.py</t>
    <phoneticPr fontId="1"/>
  </si>
  <si>
    <t>main.py</t>
    <phoneticPr fontId="1"/>
  </si>
  <si>
    <t>期待結果をすべて満たした場合は「OK」とする。</t>
    <phoneticPr fontId="1"/>
  </si>
  <si>
    <t>期待結果と1項目でも異なる場合は「NG」とし、備考欄に実際の結果、原因、課題番号などを記録する。</t>
    <phoneticPr fontId="1"/>
  </si>
  <si>
    <t>テスト未実施の場合は「未実施」とする。</t>
    <phoneticPr fontId="1"/>
  </si>
  <si>
    <t xml:space="preserve"> UTF-8で保存した `社員番号,氏名` のヘッダーと2行のデータを持つ `.csv` ファイル </t>
  </si>
  <si>
    <t xml:space="preserve"> 2行2列のDataFrameが返り、列名と各セルの値が入力CSVと一致する </t>
  </si>
  <si>
    <t xml:space="preserve"> 未実施 </t>
  </si>
  <si>
    <t xml:space="preserve"> 日本語を含むCP932の `.csv` ファイル </t>
  </si>
  <si>
    <t xml:space="preserve"> UTF-8での読込失敗後にCP932で読み込まれ、DataFrameの内容が入力CSVと一致する </t>
  </si>
  <si>
    <t xml:space="preserve"> `社員番号` が `001,002` のCSV、`column_types={"社員番号": str}` </t>
  </si>
  <si>
    <t xml:space="preserve"> `社員番号` 列が文字列として読み込まれ、先頭ゼロが保持される </t>
  </si>
  <si>
    <t xml:space="preserve"> 数値列を持つCSV、`column_types=None` </t>
  </si>
  <si>
    <t xml:space="preserve"> pandasの型推論でCSVを読み込んだDataFrameが返る </t>
  </si>
  <si>
    <t xml:space="preserve"> ヘッダー行のみを持つUTF-8の `.csv` ファイル </t>
  </si>
  <si>
    <t xml:space="preserve"> 0行で、CSVに記載した列を持つDataFrameが返る </t>
  </si>
  <si>
    <t xml:space="preserve"> 正常な内容を持つ `.CSV` ファイル </t>
  </si>
  <si>
    <t xml:space="preserve"> 拡張子が大文字でも検証を通過し、DataFrameが返る </t>
  </si>
  <si>
    <t xml:space="preserve"> 存在しない `not_found.csv` のパス </t>
  </si>
  <si>
    <t xml:space="preserve"> `FileNotFoundError` が発生し、メッセージに対象パスが含まれる </t>
  </si>
  <si>
    <t xml:space="preserve"> 存在する一時ディレクトリのパス </t>
  </si>
  <si>
    <t xml:space="preserve"> `ValueError` が発生し、「ファイルではありません」と対象パスがメッセージに含まれる </t>
  </si>
  <si>
    <t xml:space="preserve"> 存在する `input.txt` ファイル </t>
  </si>
  <si>
    <t xml:space="preserve"> `ValueError` が発生し、「CSV形式ではありません」と対象パスがメッセージに含まれる </t>
  </si>
  <si>
    <t xml:space="preserve"> 0バイトの `.csv` ファイル </t>
  </si>
  <si>
    <t xml:space="preserve"> `pandas.errors.EmptyDataError` が再送出される </t>
  </si>
  <si>
    <t xml:space="preserve"> 閉じていない引用符など、解析不能な `.csv` ファイル </t>
  </si>
  <si>
    <t xml:space="preserve"> `pandas.errors.ParserError` が再送出される </t>
  </si>
  <si>
    <t xml:space="preserve"> UTF-8、CP932のどちらでも復号できないバイト列を持つ `.csv` ファイル </t>
  </si>
  <si>
    <t xml:space="preserve"> 全対応文字コードでの試行後に `ValueError` が発生し、対象パスと対応文字コードがメッセージに含まれる </t>
  </si>
  <si>
    <t xml:space="preserve"> 数値以外を含む列を持つCSV、対象列に整数型を指定 </t>
  </si>
  <si>
    <t xml:space="preserve"> pandasが発生させた型変換の例外が呼出元へ送出される </t>
  </si>
  <si>
    <t>read_csv</t>
  </si>
  <si>
    <t>read_csv</t>
    <phoneticPr fontId="1"/>
  </si>
  <si>
    <t xml:space="preserve">read_csv。必要に応じてログも確認 </t>
    <phoneticPr fontId="1"/>
  </si>
  <si>
    <t xml:space="preserve">read_csv。空ファイルとは区別する </t>
    <phoneticPr fontId="1"/>
  </si>
  <si>
    <t xml:space="preserve">_validate_csv_file 経由 </t>
    <phoneticPr fontId="1"/>
  </si>
  <si>
    <t xml:space="preserve">_validate_csv_file、read_csv </t>
    <phoneticPr fontId="1"/>
  </si>
  <si>
    <t>UTF-8 CSVの読み込み</t>
  </si>
  <si>
    <t>CP932 CSVへの再試行</t>
  </si>
  <si>
    <t>列データ型の指定</t>
  </si>
  <si>
    <t>列データ型指定なし</t>
  </si>
  <si>
    <t>ヘッダーのみのCSV</t>
  </si>
  <si>
    <t>大文字拡張子</t>
  </si>
  <si>
    <t>存在しないファイル</t>
  </si>
  <si>
    <t>ディレクトリを指定</t>
  </si>
  <si>
    <t>CSV以外の拡張子</t>
  </si>
  <si>
    <t>空ファイル</t>
  </si>
  <si>
    <t>CSV構造不正</t>
  </si>
  <si>
    <t>未対応文字コード</t>
  </si>
  <si>
    <t>指定した列の型変換失敗</t>
  </si>
  <si>
    <t>異常系</t>
  </si>
  <si>
    <t>T006</t>
  </si>
  <si>
    <t>T007</t>
  </si>
  <si>
    <t>T008</t>
  </si>
  <si>
    <t>T009</t>
  </si>
  <si>
    <t>T010</t>
  </si>
  <si>
    <t>T011</t>
  </si>
  <si>
    <t>T012</t>
  </si>
  <si>
    <t>T013</t>
  </si>
  <si>
    <t xml:space="preserve"> 列 `A,B,C` のDataFrame、`columns_to_remove=["B"]` </t>
  </si>
  <si>
    <t xml:space="preserve"> 列が `A,C` のDataFrameが返り、行データが保持される </t>
  </si>
  <si>
    <t xml:space="preserve"> `remove_columns` </t>
  </si>
  <si>
    <t xml:space="preserve"> 列 `A,B,C` のDataFrame、`columns_to_remove=["A","C"]` </t>
  </si>
  <si>
    <t xml:space="preserve"> 列 `B` のみのDataFrameが返る </t>
  </si>
  <si>
    <t xml:space="preserve"> 列 `A,B` のDataFrame、`columns_to_remove=[]` </t>
  </si>
  <si>
    <t xml:space="preserve"> 入力と同じ内容のDataFrameが返る </t>
  </si>
  <si>
    <t xml:space="preserve"> 列 `A,B` のDataFrame、`columns_to_remove=["B"]` </t>
  </si>
  <si>
    <t xml:space="preserve"> 戻り値から `B` が削除される一方、入力DataFrameの列と値は変更されない </t>
  </si>
  <si>
    <t xml:space="preserve"> 列 `A,B` のDataFrame、`columns_to_remove=["X"]` </t>
  </si>
  <si>
    <t xml:space="preserve"> `ValueError` が発生し、メッセージに `X` が含まれる </t>
  </si>
  <si>
    <t xml:space="preserve"> 列 `A,B` のDataFrame、`columns_to_remove=["A","X"]` </t>
  </si>
  <si>
    <t xml:space="preserve"> `ValueError` が発生し、処理途中で入力DataFrameが変更されない </t>
  </si>
  <si>
    <t xml:space="preserve"> 列 `A,B` のDataFrame、`column_name_map={"A":"X"}` </t>
  </si>
  <si>
    <t xml:space="preserve"> 列名が `X,B` のDataFrameが返り、値が保持される </t>
  </si>
  <si>
    <t xml:space="preserve"> `rename_columns` </t>
  </si>
  <si>
    <t xml:space="preserve"> 列 `A,B,C` のDataFrame、`column_name_map={"A":"X","C":"Z"}` </t>
  </si>
  <si>
    <t xml:space="preserve"> 列名が `X,B,Z` のDataFrameが返る </t>
  </si>
  <si>
    <t xml:space="preserve"> 列 `A,B` のDataFrame、`column_name_map={}` </t>
  </si>
  <si>
    <t xml:space="preserve"> 戻り値の列名のみ変更され、入力DataFrameは変更されない </t>
  </si>
  <si>
    <t xml:space="preserve"> 列 `A,B` のDataFrame、`column_name_map={"X":"Y"}` </t>
  </si>
  <si>
    <t xml:space="preserve"> 列 `A,B,C` のDataFrame、`column_order=["C","A","B"]` </t>
  </si>
  <si>
    <t xml:space="preserve"> 列順が `C,A,B` のDataFrameが返り、各列の値が保持される </t>
  </si>
  <si>
    <t xml:space="preserve"> `reorder_columns` </t>
  </si>
  <si>
    <t xml:space="preserve"> 列 `A,B,C` のDataFrame、`column_order=["C","A"]` </t>
  </si>
  <si>
    <t xml:space="preserve"> 列順が `C,A` となり、指定されていない `B` は戻り値に含まれない </t>
  </si>
  <si>
    <t xml:space="preserve"> `reorder_columns` の現行仕様 </t>
  </si>
  <si>
    <t xml:space="preserve"> 列 `A,B` のDataFrame、`column_order=[]` </t>
  </si>
  <si>
    <t xml:space="preserve"> 行数を保持した0列のDataFrameが返る </t>
  </si>
  <si>
    <t xml:space="preserve"> 列 `A,B` のDataFrame、`column_order=["B","A"]` </t>
  </si>
  <si>
    <t xml:space="preserve"> 戻り値のみ列順が変わり、入力DataFrameは変更されない </t>
  </si>
  <si>
    <t xml:space="preserve"> 列 `A,B` のDataFrame、`column_order=["A","X"]` </t>
  </si>
  <si>
    <t>未実施</t>
  </si>
  <si>
    <t>1列の削除</t>
  </si>
  <si>
    <t>複数列の削除</t>
  </si>
  <si>
    <t>削除対象が空</t>
  </si>
  <si>
    <t>削除時に元データを保持</t>
  </si>
  <si>
    <t>存在しない列の削除</t>
  </si>
  <si>
    <t>削除対象の一部が存在しない</t>
  </si>
  <si>
    <t>1列の名称変更</t>
  </si>
  <si>
    <t>複数列の名称変更</t>
  </si>
  <si>
    <t>名称変更指定が空</t>
  </si>
  <si>
    <t>名称変更時に元データを保持</t>
  </si>
  <si>
    <t>存在しない列の名称変更</t>
  </si>
  <si>
    <t>列順の変更</t>
  </si>
  <si>
    <t>一部列の選択と並べ替え</t>
  </si>
  <si>
    <t>空の列順指定</t>
  </si>
  <si>
    <t>列順変更時に元データを保持</t>
  </si>
  <si>
    <t>存在しない列を列順に指定</t>
  </si>
  <si>
    <t>正常系</t>
  </si>
  <si>
    <t>T014</t>
  </si>
  <si>
    <t>T015</t>
  </si>
  <si>
    <t>T016</t>
  </si>
  <si>
    <t>T017</t>
  </si>
  <si>
    <t>T018</t>
  </si>
  <si>
    <t>T019</t>
  </si>
  <si>
    <t>T020</t>
  </si>
  <si>
    <t>T021</t>
  </si>
  <si>
    <t>T022</t>
  </si>
  <si>
    <t>T023</t>
  </si>
  <si>
    <t>T024</t>
  </si>
  <si>
    <t>T025</t>
  </si>
  <si>
    <t>T026</t>
  </si>
  <si>
    <t>T027</t>
  </si>
  <si>
    <t>T028</t>
  </si>
  <si>
    <t>T029</t>
  </si>
  <si>
    <t xml:space="preserve"> 2行2列のDataFrame、存在する一時フォルダ配下の `.xlsx` パス </t>
  </si>
  <si>
    <t xml:space="preserve"> Excelファイルが作成され、再読込した列名とセル値がDataFrameと一致する </t>
  </si>
  <si>
    <t xml:space="preserve"> `write_excel` </t>
  </si>
  <si>
    <t xml:space="preserve"> DataFrame、`sheet_name` を省略 </t>
  </si>
  <si>
    <t xml:space="preserve"> シート名が「加工済みデータ」になる </t>
  </si>
  <si>
    <t xml:space="preserve"> DataFrame、`sheet_name="勤務実績"` </t>
  </si>
  <si>
    <t xml:space="preserve"> シート名が「勤務実績」になる </t>
  </si>
  <si>
    <t xml:space="preserve"> DataFrame、存在しない複数階層フォルダ配下の出力パス </t>
  </si>
  <si>
    <t xml:space="preserve"> 親フォルダが再帰的に作成され、Excelファイルが出力される </t>
  </si>
  <si>
    <t xml:space="preserve"> 独自インデックスを持つDataFrame </t>
  </si>
  <si>
    <t xml:space="preserve"> ExcelにDataFrameのインデックス列が出力されず、業務列だけが存在する </t>
  </si>
  <si>
    <t xml:space="preserve"> 列名のみを持つ0行のDataFrame </t>
  </si>
  <si>
    <t xml:space="preserve"> Excelファイルが作成され、ヘッダーのみが出力される </t>
  </si>
  <si>
    <t xml:space="preserve"> 既に存在する `.xlsx` パスと新しいDataFrame </t>
  </si>
  <si>
    <t xml:space="preserve"> 例外なく上書きされ、再読込結果が新しいDataFrameと一致する </t>
  </si>
  <si>
    <t xml:space="preserve"> `write_excel` の現行仕様 </t>
  </si>
  <si>
    <t xml:space="preserve"> DataFrame、Excelの制約を超える32文字以上のシート名 </t>
  </si>
  <si>
    <t xml:space="preserve"> Excel出力ライブラリの例外が呼出元へ送出される </t>
  </si>
  <si>
    <t xml:space="preserve"> DataFrame、ファイルとして既に存在するパスを親フォルダとして指定 </t>
  </si>
  <si>
    <t xml:space="preserve"> ディレクトリ作成またはファイル書込時の例外が呼出元へ送出される </t>
  </si>
  <si>
    <t xml:space="preserve"> OS依存の権限試験を避ける </t>
  </si>
  <si>
    <t>Excelファイル出力</t>
  </si>
  <si>
    <t>既定シート名</t>
  </si>
  <si>
    <t>任意シート名</t>
  </si>
  <si>
    <t>出力先フォルダの自動作成</t>
  </si>
  <si>
    <t>インデックスを出力しない</t>
  </si>
  <si>
    <t>空DataFrameの出力</t>
  </si>
  <si>
    <t>既存ファイルの上書き</t>
  </si>
  <si>
    <t>不正なシート名</t>
  </si>
  <si>
    <t>書き込み不能</t>
  </si>
  <si>
    <t>T030</t>
  </si>
  <si>
    <t>T031</t>
  </si>
  <si>
    <t>T032</t>
  </si>
  <si>
    <t>T033</t>
  </si>
  <si>
    <t>T034</t>
  </si>
  <si>
    <t>T035</t>
  </si>
  <si>
    <t>T036</t>
  </si>
  <si>
    <t>T037</t>
  </si>
  <si>
    <t>T038</t>
  </si>
  <si>
    <t xml:space="preserve"> `logs` が存在しない一時プロジェクトフォルダ </t>
  </si>
  <si>
    <t xml:space="preserve"> `logs` フォルダが作成される </t>
  </si>
  <si>
    <t xml:space="preserve"> `setup_logging` </t>
  </si>
  <si>
    <t xml:space="preserve"> 現在日時を `2026-01-02 03:04:05` に固定したプロジェクトフォルダ </t>
  </si>
  <si>
    <t xml:space="preserve"> 戻り値が `logs/csv_business_formatter_20260102_030405.log` になる </t>
  </si>
  <si>
    <t xml:space="preserve"> `datetime.now` をモック化 </t>
  </si>
  <si>
    <t xml:space="preserve"> ログ設定後に日本語のINFOログを1件出力 </t>
  </si>
  <si>
    <t xml:space="preserve"> 戻り値のファイルが存在し、日本語メッセージがUTF-8で記録される </t>
  </si>
  <si>
    <t xml:space="preserve"> ハンドラーをflushして確認 </t>
  </si>
  <si>
    <t xml:space="preserve"> 一時プロジェクトフォルダ </t>
  </si>
  <si>
    <t xml:space="preserve"> ルートロガーのレベルが `INFO` に設定される </t>
  </si>
  <si>
    <t xml:space="preserve"> `logs` が既に存在する一時プロジェクトフォルダ </t>
  </si>
  <si>
    <t xml:space="preserve"> 例外なく設定され、新しいログファイルのパスが返る </t>
  </si>
  <si>
    <t xml:space="preserve"> プロジェクト直下に通常ファイルとして作成した `logs` </t>
  </si>
  <si>
    <t xml:space="preserve"> `FileExistsError` 等のディレクトリ作成例外が呼出元へ送出される </t>
  </si>
  <si>
    <t xml:space="preserve"> `logging.FileHandler` が `OSError` を発生するようモック化 </t>
  </si>
  <si>
    <t xml:space="preserve"> `OSError` が呼出元へ送出される </t>
  </si>
  <si>
    <t>ログフォルダの作成</t>
  </si>
  <si>
    <t>ログファイル名</t>
  </si>
  <si>
    <t>ログファイルへのUTF-8出力</t>
  </si>
  <si>
    <t>ログレベル</t>
  </si>
  <si>
    <t>既存logsフォルダ</t>
  </si>
  <si>
    <t>logsパスがファイル</t>
  </si>
  <si>
    <t>ログファイル作成失敗</t>
  </si>
  <si>
    <t>T039</t>
  </si>
  <si>
    <t>T040</t>
  </si>
  <si>
    <t>T041</t>
  </si>
  <si>
    <t>T042</t>
  </si>
  <si>
    <t>T043</t>
  </si>
  <si>
    <t>T044</t>
  </si>
  <si>
    <t>T045</t>
  </si>
  <si>
    <t xml:space="preserve"> `read_csv` がサンプル相当のDataFrameを返すようにし、外部関数をモック化 </t>
  </si>
  <si>
    <t xml:space="preserve"> `setup_logging`、`read_csv`、`remove_columns`、`rename_columns`、`reorder_columns`、`write_excel` が各1回、規定順序で呼ばれ、例外なく終了する </t>
  </si>
  <si>
    <t xml:space="preserve"> `main` </t>
  </si>
  <si>
    <t xml:space="preserve"> `Path(__file__)` を基準に実行 </t>
  </si>
  <si>
    <t xml:space="preserve"> `read_csv` に `&lt;project_dir&gt;/sample/input/sample.csv` が渡される </t>
  </si>
  <si>
    <t xml:space="preserve"> 外部関数をモック化して実行 </t>
  </si>
  <si>
    <t xml:space="preserve"> `read_csv` の型指定に `{"社員番号": str}` が渡される </t>
  </si>
  <si>
    <t xml:space="preserve"> 各整形関数が識別可能なDataFrameを返すようモック化 </t>
  </si>
  <si>
    <t xml:space="preserve"> 削除列 `不要列`、名称変更 `社員番号→従業員番号` と `勤務時間→勤務時間数`、列順 `従業員番号,氏名,部署,勤務時間数` が使用され、各戻り値が次処理へ渡る </t>
  </si>
  <si>
    <t xml:space="preserve"> 現在日時を `2026-01-02 03:04:05` に固定 </t>
  </si>
  <si>
    <t xml:space="preserve"> `write_excel` の出力先が `&lt;project_dir&gt;/output/formatted_data_20260102_030405.xlsx` になる </t>
  </si>
  <si>
    <t xml:space="preserve"> `write_excel` がDataFrameと出力パスの2引数で呼ばれ、既定シート名を使用する </t>
  </si>
  <si>
    <t xml:space="preserve"> `read_csv` が `FileNotFoundError` を発生 </t>
  </si>
  <si>
    <t xml:space="preserve"> 後続の整形関数と `write_excel` は呼ばれず、同じ `FileNotFoundError` が再送出される </t>
  </si>
  <si>
    <t xml:space="preserve"> エラーログ出力も確認 </t>
  </si>
  <si>
    <t xml:space="preserve"> `remove_columns` が `ValueError` を発生 </t>
  </si>
  <si>
    <t xml:space="preserve"> 後続の名称変更、列順変更、Excel出力は呼ばれず、同じ `ValueError` が再送出される </t>
  </si>
  <si>
    <t xml:space="preserve"> `rename_columns` が `ValueError` を発生 </t>
  </si>
  <si>
    <t xml:space="preserve"> 後続の列順変更とExcel出力は呼ばれず、同じ `ValueError` が再送出される </t>
  </si>
  <si>
    <t xml:space="preserve"> `reorder_columns` が `ValueError` を発生 </t>
  </si>
  <si>
    <t xml:space="preserve"> `write_excel` は呼ばれず、同じ `ValueError` が再送出される </t>
  </si>
  <si>
    <t xml:space="preserve"> `write_excel` が `OSError` を発生 </t>
  </si>
  <si>
    <t xml:space="preserve"> 同じ `OSError` が再送出され、処理失敗の例外ログが出力される </t>
  </si>
  <si>
    <t xml:space="preserve"> `setup_logging` が `OSError` を発生 </t>
  </si>
  <si>
    <t xml:space="preserve"> `read_csv` 以降の処理は呼ばれず、`OSError` が呼出元へ送出される </t>
  </si>
  <si>
    <t xml:space="preserve"> 現行実装では `try` ブロック開始前のため、main内の失敗ログ対象外 </t>
  </si>
  <si>
    <t>一連の処理の完了</t>
  </si>
  <si>
    <t>入力パスの組み立て</t>
  </si>
  <si>
    <t>社員番号の型指定</t>
  </si>
  <si>
    <t>整形条件と処理間データ連携</t>
  </si>
  <si>
    <t>日時付き出力パス</t>
  </si>
  <si>
    <t>既定シート名での出力</t>
  </si>
  <si>
    <t>CSV読込失敗</t>
  </si>
  <si>
    <t>不要列削除失敗</t>
  </si>
  <si>
    <t>列名変更失敗</t>
  </si>
  <si>
    <t>列順変更失敗</t>
  </si>
  <si>
    <t>Excel出力失敗</t>
  </si>
  <si>
    <t>ログ設定失敗</t>
  </si>
  <si>
    <t>T046</t>
  </si>
  <si>
    <t>T047</t>
  </si>
  <si>
    <t>T048</t>
  </si>
  <si>
    <t>T049</t>
  </si>
  <si>
    <t>T050</t>
  </si>
  <si>
    <t>T051</t>
  </si>
  <si>
    <t>T052</t>
  </si>
  <si>
    <t>T053</t>
  </si>
  <si>
    <t>T054</t>
  </si>
  <si>
    <t>T055</t>
  </si>
  <si>
    <t>T056</t>
  </si>
  <si>
    <t>T057</t>
  </si>
  <si>
    <t>F-004</t>
    <phoneticPr fontId="1"/>
  </si>
  <si>
    <t>F-005</t>
    <phoneticPr fontId="1"/>
  </si>
  <si>
    <t>高</t>
    <rPh sb="0" eb="1">
      <t>タカイ</t>
    </rPh>
    <phoneticPr fontId="1"/>
  </si>
  <si>
    <t>中</t>
    <rPh sb="0" eb="1">
      <t>チュウ</t>
    </rPh>
    <phoneticPr fontId="1"/>
  </si>
  <si>
    <t>低</t>
    <rPh sb="0" eb="1">
      <t>ヒクイ</t>
    </rPh>
    <phoneticPr fontId="1"/>
  </si>
  <si>
    <t>1.0</t>
    <phoneticPr fontId="1"/>
  </si>
  <si>
    <t>1.1</t>
    <phoneticPr fontId="1"/>
  </si>
  <si>
    <t>CSVファイルの存在・形式検証、UTF-8／CP932の読込、列データ型指定、読込時の例外処理</t>
    <rPh sb="15" eb="18">
      <t>タイセィオ</t>
    </rPh>
    <rPh sb="21" eb="23">
      <t>セイゲn</t>
    </rPh>
    <rPh sb="23" eb="25">
      <t>セイ</t>
    </rPh>
    <rPh sb="25" eb="27">
      <t>カクニn</t>
    </rPh>
    <phoneticPr fontId="1"/>
  </si>
  <si>
    <t>不要列削除、列名変更、列順変更、存在しない列の検証、加工前DataFrameの保持</t>
    <phoneticPr fontId="1"/>
  </si>
  <si>
    <t>Excelファイル出力、シート名指定、出力先フォルダ作成、インデックス除外、上書き・出力例外</t>
    <phoneticPr fontId="1"/>
  </si>
  <si>
    <t>ログフォルダ作成、ログファイル名、UTF-8出力、ログレベル設定、ログ生成時の例外処理</t>
    <phoneticPr fontId="1"/>
  </si>
  <si>
    <t>各処理の呼出順序、入力・出力パス、設定値の受渡し、処理間データ連携、例外の再送出とエラーログ</t>
    <phoneticPr fontId="1"/>
  </si>
  <si>
    <t>項目</t>
    <rPh sb="0" eb="2">
      <t>コウモク</t>
    </rPh>
    <phoneticPr fontId="1"/>
  </si>
  <si>
    <t>実施端末</t>
  </si>
  <si>
    <t>Mac mini</t>
  </si>
  <si>
    <t>OS</t>
  </si>
  <si>
    <t>macOS 26.5.2</t>
  </si>
  <si>
    <t>Python</t>
  </si>
  <si>
    <t>Python 3.10.4</t>
  </si>
  <si>
    <t>開発環境</t>
  </si>
  <si>
    <t>Visual Studio Code</t>
  </si>
  <si>
    <t>テストフレームワーク</t>
  </si>
  <si>
    <t>pytest</t>
  </si>
  <si>
    <t>主要ライブラリ</t>
  </si>
  <si>
    <t>pandas、openpyxl</t>
  </si>
  <si>
    <t>実行方法</t>
  </si>
  <si>
    <r>
      <t xml:space="preserve">VS Codeのターミナルから </t>
    </r>
    <r>
      <rPr>
        <sz val="10"/>
        <color theme="1"/>
        <rFont val="Arial Unicode MS"/>
        <family val="2"/>
      </rPr>
      <t>python -m pytest</t>
    </r>
    <r>
      <rPr>
        <sz val="12"/>
        <color theme="1"/>
        <rFont val="游ゴシック"/>
        <family val="2"/>
        <charset val="128"/>
        <scheme val="minor"/>
      </rPr>
      <t xml:space="preserve"> を実行</t>
    </r>
  </si>
  <si>
    <t>テストデータ</t>
  </si>
  <si>
    <t>テストごとに一時フォルダおよび一時ファイルを作成</t>
  </si>
  <si>
    <t>出力先</t>
  </si>
  <si>
    <t>pytestが作成する一時フォルダ</t>
  </si>
  <si>
    <t>文字コード</t>
  </si>
  <si>
    <t>UTF-8、CP932</t>
  </si>
  <si>
    <t>内容</t>
    <rPh sb="0" eb="2">
      <t>ナイヨウ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</si>
</sst>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2">
    <font>
      <sz val="12"/>
      <color theme="1"/>
      <name val="游ゴシック"/>
      <family val="2"/>
      <charset val="128"/>
      <scheme val="minor"/>
    </font>
    <font>
      <sz val="6"/>
      <name val="游ゴシック"/>
      <family val="2"/>
      <charset val="128"/>
      <scheme val="minor"/>
    </font>
    <font>
      <sz val="12"/>
      <color theme="0"/>
      <name val="游ゴシック"/>
      <family val="2"/>
      <charset val="128"/>
      <scheme val="minor"/>
    </font>
    <font>
      <b/>
      <sz val="12"/>
      <color theme="1"/>
      <name val="游ゴシック"/>
      <family val="3"/>
      <charset val="128"/>
      <scheme val="minor"/>
    </font>
    <font>
      <sz val="32"/>
      <color rgb="FF000000"/>
      <name val="游ゴシック"/>
      <family val="3"/>
      <charset val="128"/>
      <scheme val="minor"/>
    </font>
    <font>
      <sz val="12"/>
      <color theme="0"/>
      <name val="游ゴシック"/>
      <family val="3"/>
      <charset val="128"/>
      <scheme val="minor"/>
    </font>
    <font>
      <sz val="12"/>
      <color theme="1"/>
      <name val="游ゴシック"/>
      <family val="3"/>
      <charset val="128"/>
      <scheme val="minor"/>
    </font>
    <font>
      <b/>
      <sz val="12"/>
      <color theme="0"/>
      <name val="游ゴシック"/>
      <family val="3"/>
      <charset val="128"/>
      <scheme val="minor"/>
    </font>
    <font>
      <sz val="12"/>
      <name val="Menlo"/>
      <family val="2"/>
    </font>
    <font>
      <sz val="12"/>
      <name val="游ゴシック"/>
      <family val="2"/>
      <charset val="128"/>
      <scheme val="minor"/>
    </font>
    <font>
      <sz val="12"/>
      <name val="游ゴシック"/>
      <family val="3"/>
      <charset val="128"/>
      <scheme val="minor"/>
    </font>
    <font>
      <sz val="10"/>
      <color theme="1"/>
      <name val="Arial Unicode MS"/>
      <family val="2"/>
    </font>
  </fonts>
  <fills count="3">
    <fill>
      <patternFill patternType="none"/>
    </fill>
    <fill>
      <patternFill patternType="gray125"/>
    </fill>
    <fill>
      <patternFill patternType="solid">
        <fgColor theme="0" tint="-0.34998626667073579"/>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bottom style="dotted">
        <color indexed="64"/>
      </bottom>
      <diagonal/>
    </border>
    <border>
      <left/>
      <right style="medium">
        <color indexed="64"/>
      </right>
      <top/>
      <bottom style="dotted">
        <color indexed="64"/>
      </bottom>
      <diagonal/>
    </border>
    <border>
      <left/>
      <right/>
      <top/>
      <bottom style="dotted">
        <color indexed="64"/>
      </bottom>
      <diagonal/>
    </border>
    <border>
      <left style="medium">
        <color indexed="64"/>
      </left>
      <right/>
      <top/>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3" fillId="0" borderId="1" xfId="0" applyFont="1"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3" fillId="0" borderId="0" xfId="0" applyFont="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2" borderId="7" xfId="0" applyFont="1" applyFill="1" applyBorder="1">
      <alignment vertical="center"/>
    </xf>
    <xf numFmtId="0" fontId="5" fillId="2" borderId="8" xfId="0" applyFont="1" applyFill="1" applyBorder="1">
      <alignment vertical="center"/>
    </xf>
    <xf numFmtId="0" fontId="5" fillId="2" borderId="9" xfId="0" applyFont="1" applyFill="1" applyBorder="1">
      <alignment vertical="center"/>
    </xf>
    <xf numFmtId="0" fontId="5" fillId="2" borderId="4" xfId="0" applyFont="1" applyFill="1" applyBorder="1">
      <alignment vertical="center"/>
    </xf>
    <xf numFmtId="0" fontId="5" fillId="2" borderId="5" xfId="0" applyFont="1" applyFill="1" applyBorder="1">
      <alignment vertical="center"/>
    </xf>
    <xf numFmtId="0" fontId="5" fillId="2" borderId="6" xfId="0" applyFont="1" applyFill="1"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0" xfId="0" applyBorder="1" applyAlignment="1">
      <alignment horizontal="centerContinuous" vertical="center"/>
    </xf>
    <xf numFmtId="0" fontId="0" fillId="0" borderId="12" xfId="0" applyBorder="1" applyAlignment="1">
      <alignment horizontal="centerContinuous"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17" xfId="0" applyBorder="1" applyAlignment="1">
      <alignment horizontal="centerContinuous" vertical="center"/>
    </xf>
    <xf numFmtId="0" fontId="0" fillId="0" borderId="16" xfId="0" applyBorder="1">
      <alignment vertical="center"/>
    </xf>
    <xf numFmtId="0" fontId="0" fillId="0" borderId="18" xfId="0" applyBorder="1">
      <alignment vertical="center"/>
    </xf>
    <xf numFmtId="0" fontId="0" fillId="0" borderId="17" xfId="0" applyBorder="1">
      <alignment vertical="center"/>
    </xf>
    <xf numFmtId="0" fontId="2" fillId="2" borderId="9" xfId="0" applyFont="1" applyFill="1" applyBorder="1">
      <alignment vertical="center"/>
    </xf>
    <xf numFmtId="0" fontId="2" fillId="2" borderId="8" xfId="0" applyFont="1" applyFill="1" applyBorder="1">
      <alignment vertical="center"/>
    </xf>
    <xf numFmtId="0" fontId="0" fillId="0" borderId="0" xfId="0" applyAlignment="1">
      <alignment horizontal="center"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0" fontId="7" fillId="2" borderId="8" xfId="0" applyFont="1" applyFill="1" applyBorder="1">
      <alignment vertical="center"/>
    </xf>
    <xf numFmtId="0" fontId="7" fillId="2" borderId="9" xfId="0" applyFont="1" applyFill="1" applyBorder="1">
      <alignment vertical="center"/>
    </xf>
    <xf numFmtId="0" fontId="7" fillId="2" borderId="9" xfId="0" applyFont="1" applyFill="1" applyBorder="1" applyAlignment="1">
      <alignment horizontal="left" vertical="center"/>
    </xf>
    <xf numFmtId="0" fontId="6" fillId="0" borderId="11" xfId="0" applyFont="1" applyBorder="1" applyAlignment="1">
      <alignment horizontal="left" vertical="center"/>
    </xf>
    <xf numFmtId="0" fontId="0" fillId="0" borderId="11" xfId="0" applyBorder="1" applyAlignment="1">
      <alignment horizontal="center" vertical="center"/>
    </xf>
    <xf numFmtId="0" fontId="6" fillId="0" borderId="18" xfId="0" applyFont="1" applyBorder="1" applyAlignment="1">
      <alignment horizontal="left" vertical="center"/>
    </xf>
    <xf numFmtId="0" fontId="8" fillId="0" borderId="0" xfId="0" applyFont="1">
      <alignment vertical="center"/>
    </xf>
    <xf numFmtId="0" fontId="9" fillId="0" borderId="0" xfId="0" applyFont="1">
      <alignment vertical="center"/>
    </xf>
    <xf numFmtId="0" fontId="10" fillId="0" borderId="19" xfId="0" applyFont="1"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2"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176" fontId="0" fillId="0" borderId="1"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0" fillId="0" borderId="0" xfId="0">
      <alignment vertical="center"/>
    </xf>
    <xf numFmtId="0" fontId="4" fillId="0" borderId="0" xfId="0" applyFont="1" applyAlignment="1">
      <alignment horizontal="center" vertical="center"/>
    </xf>
    <xf numFmtId="0" fontId="0" fillId="0" borderId="18" xfId="0" quotePrefix="1" applyBorder="1">
      <alignment vertical="center"/>
    </xf>
    <xf numFmtId="0" fontId="0" fillId="0" borderId="11" xfId="0" quotePrefix="1" applyBorder="1">
      <alignment vertical="center"/>
    </xf>
    <xf numFmtId="0" fontId="7" fillId="2" borderId="7" xfId="0" applyFont="1" applyFill="1" applyBorder="1" applyAlignment="1">
      <alignment horizontal="center" vertical="center"/>
    </xf>
    <xf numFmtId="0" fontId="7" fillId="2" borderId="7" xfId="0" applyFont="1" applyFill="1" applyBorder="1">
      <alignment vertical="center"/>
    </xf>
    <xf numFmtId="0" fontId="7" fillId="2" borderId="8" xfId="0" applyFont="1" applyFill="1" applyBorder="1">
      <alignment vertical="center"/>
    </xf>
    <xf numFmtId="0" fontId="7" fillId="2" borderId="9"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2</xdr:col>
      <xdr:colOff>38100</xdr:colOff>
      <xdr:row>4</xdr:row>
      <xdr:rowOff>0</xdr:rowOff>
    </xdr:from>
    <xdr:to>
      <xdr:col>23</xdr:col>
      <xdr:colOff>0</xdr:colOff>
      <xdr:row>9</xdr:row>
      <xdr:rowOff>0</xdr:rowOff>
    </xdr:to>
    <xdr:sp macro="" textlink="">
      <xdr:nvSpPr>
        <xdr:cNvPr id="3" name="フローチャート: 代替処理 2">
          <a:extLst>
            <a:ext uri="{FF2B5EF4-FFF2-40B4-BE49-F238E27FC236}">
              <a16:creationId xmlns:a16="http://schemas.microsoft.com/office/drawing/2014/main" id="{A0DAB340-EF63-7906-9F99-BBF5E321F39A}"/>
            </a:ext>
          </a:extLst>
        </xdr:cNvPr>
        <xdr:cNvSpPr/>
      </xdr:nvSpPr>
      <xdr:spPr>
        <a:xfrm>
          <a:off x="749300" y="1016000"/>
          <a:ext cx="7429500" cy="1701800"/>
        </a:xfrm>
        <a:prstGeom prst="flowChartAlternateProcess">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8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EC69B-EA98-8A46-9607-D7BE7B53FE98}">
  <dimension ref="A2:P12"/>
  <sheetViews>
    <sheetView showGridLines="0" workbookViewId="0"/>
  </sheetViews>
  <sheetFormatPr baseColWidth="10" defaultColWidth="4" defaultRowHeight="20"/>
  <sheetData>
    <row r="2" spans="1:16">
      <c r="A2" s="1" t="s">
        <v>3</v>
      </c>
      <c r="B2" s="2"/>
      <c r="C2" s="2"/>
      <c r="D2" s="3"/>
      <c r="E2" s="56" t="s">
        <v>60</v>
      </c>
      <c r="F2" s="57"/>
      <c r="G2" s="57"/>
      <c r="H2" s="57"/>
      <c r="I2" s="57"/>
      <c r="J2" s="57"/>
      <c r="K2" s="57"/>
      <c r="L2" s="57"/>
      <c r="M2" s="57"/>
      <c r="N2" s="57"/>
      <c r="O2" s="57"/>
      <c r="P2" s="58"/>
    </row>
    <row r="3" spans="1:16">
      <c r="A3" s="1" t="s">
        <v>5</v>
      </c>
      <c r="B3" s="2"/>
      <c r="C3" s="2"/>
      <c r="D3" s="3"/>
      <c r="E3" s="56" t="s">
        <v>61</v>
      </c>
      <c r="F3" s="57"/>
      <c r="G3" s="57"/>
      <c r="H3" s="57"/>
      <c r="I3" s="57"/>
      <c r="J3" s="57"/>
      <c r="K3" s="57"/>
      <c r="L3" s="57"/>
      <c r="M3" s="57"/>
      <c r="N3" s="57"/>
      <c r="O3" s="57"/>
      <c r="P3" s="58"/>
    </row>
    <row r="4" spans="1:16">
      <c r="A4" s="1" t="s">
        <v>6</v>
      </c>
      <c r="B4" s="2"/>
      <c r="C4" s="2"/>
      <c r="D4" s="3"/>
      <c r="E4" s="56" t="s">
        <v>21</v>
      </c>
      <c r="F4" s="57"/>
      <c r="G4" s="57"/>
      <c r="H4" s="57"/>
      <c r="I4" s="57"/>
      <c r="J4" s="57"/>
      <c r="K4" s="57"/>
      <c r="L4" s="57"/>
      <c r="M4" s="57"/>
      <c r="N4" s="57"/>
      <c r="O4" s="57"/>
      <c r="P4" s="58"/>
    </row>
    <row r="5" spans="1:16">
      <c r="A5" s="1" t="s">
        <v>0</v>
      </c>
      <c r="B5" s="2"/>
      <c r="C5" s="2"/>
      <c r="D5" s="3"/>
      <c r="E5" s="59" t="str">
        <f>TEXT("2026/7/13","yyyy/MM/dd")</f>
        <v>2026/07/13</v>
      </c>
      <c r="F5" s="60"/>
      <c r="G5" s="60"/>
      <c r="H5" s="60"/>
      <c r="I5" s="60"/>
      <c r="J5" s="60"/>
      <c r="K5" s="60"/>
      <c r="L5" s="60"/>
      <c r="M5" s="60"/>
      <c r="N5" s="60"/>
      <c r="O5" s="60"/>
      <c r="P5" s="61"/>
    </row>
    <row r="6" spans="1:16">
      <c r="A6" s="1" t="s">
        <v>1</v>
      </c>
      <c r="B6" s="2"/>
      <c r="C6" s="2"/>
      <c r="D6" s="3"/>
      <c r="E6" s="56" t="s">
        <v>62</v>
      </c>
      <c r="F6" s="57"/>
      <c r="G6" s="57"/>
      <c r="H6" s="57"/>
      <c r="I6" s="57"/>
      <c r="J6" s="57"/>
      <c r="K6" s="57"/>
      <c r="L6" s="57"/>
      <c r="M6" s="57"/>
      <c r="N6" s="57"/>
      <c r="O6" s="57"/>
      <c r="P6" s="58"/>
    </row>
    <row r="7" spans="1:16">
      <c r="A7" s="1"/>
      <c r="B7" s="2"/>
      <c r="C7" s="2"/>
      <c r="D7" s="3"/>
      <c r="E7" s="56"/>
      <c r="F7" s="57"/>
      <c r="G7" s="57"/>
      <c r="H7" s="57"/>
      <c r="I7" s="57"/>
      <c r="J7" s="57"/>
      <c r="K7" s="57"/>
      <c r="L7" s="57"/>
      <c r="M7" s="57"/>
      <c r="N7" s="57"/>
      <c r="O7" s="57"/>
      <c r="P7" s="58"/>
    </row>
    <row r="8" spans="1:16">
      <c r="A8" s="1"/>
      <c r="B8" s="2"/>
      <c r="C8" s="2"/>
      <c r="D8" s="3"/>
      <c r="E8" s="56"/>
      <c r="F8" s="57"/>
      <c r="G8" s="57"/>
      <c r="H8" s="57"/>
      <c r="I8" s="57"/>
      <c r="J8" s="57"/>
      <c r="K8" s="57"/>
      <c r="L8" s="57"/>
      <c r="M8" s="57"/>
      <c r="N8" s="57"/>
      <c r="O8" s="57"/>
      <c r="P8" s="58"/>
    </row>
    <row r="9" spans="1:16">
      <c r="A9" s="1"/>
      <c r="B9" s="2"/>
      <c r="C9" s="2"/>
      <c r="D9" s="3"/>
      <c r="E9" s="56"/>
      <c r="F9" s="57"/>
      <c r="G9" s="57"/>
      <c r="H9" s="57"/>
      <c r="I9" s="57"/>
      <c r="J9" s="57"/>
      <c r="K9" s="57"/>
      <c r="L9" s="57"/>
      <c r="M9" s="57"/>
      <c r="N9" s="57"/>
      <c r="O9" s="57"/>
      <c r="P9" s="58"/>
    </row>
    <row r="10" spans="1:16">
      <c r="A10" s="1"/>
      <c r="B10" s="2"/>
      <c r="C10" s="2"/>
      <c r="D10" s="3"/>
      <c r="E10" s="56"/>
      <c r="F10" s="57"/>
      <c r="G10" s="57"/>
      <c r="H10" s="57"/>
      <c r="I10" s="57"/>
      <c r="J10" s="57"/>
      <c r="K10" s="57"/>
      <c r="L10" s="57"/>
      <c r="M10" s="57"/>
      <c r="N10" s="57"/>
      <c r="O10" s="57"/>
      <c r="P10" s="58"/>
    </row>
    <row r="11" spans="1:16">
      <c r="A11" s="1"/>
      <c r="B11" s="2"/>
      <c r="C11" s="2"/>
      <c r="D11" s="3"/>
      <c r="E11" s="56"/>
      <c r="F11" s="57"/>
      <c r="G11" s="57"/>
      <c r="H11" s="57"/>
      <c r="I11" s="57"/>
      <c r="J11" s="57"/>
      <c r="K11" s="57"/>
      <c r="L11" s="57"/>
      <c r="M11" s="57"/>
      <c r="N11" s="57"/>
      <c r="O11" s="57"/>
      <c r="P11" s="58"/>
    </row>
    <row r="12" spans="1:16">
      <c r="A12" s="1"/>
      <c r="B12" s="2"/>
      <c r="C12" s="2"/>
      <c r="D12" s="3"/>
      <c r="E12" s="56"/>
      <c r="F12" s="57"/>
      <c r="G12" s="57"/>
      <c r="H12" s="57"/>
      <c r="I12" s="57"/>
      <c r="J12" s="57"/>
      <c r="K12" s="57"/>
      <c r="L12" s="57"/>
      <c r="M12" s="57"/>
      <c r="N12" s="57"/>
      <c r="O12" s="57"/>
      <c r="P12" s="58"/>
    </row>
  </sheetData>
  <mergeCells count="11">
    <mergeCell ref="E2:P2"/>
    <mergeCell ref="E5:P5"/>
    <mergeCell ref="E6:P6"/>
    <mergeCell ref="E7:P7"/>
    <mergeCell ref="E8:P8"/>
    <mergeCell ref="E10:P10"/>
    <mergeCell ref="E11:P11"/>
    <mergeCell ref="E12:P12"/>
    <mergeCell ref="E3:P3"/>
    <mergeCell ref="E4:P4"/>
    <mergeCell ref="E9:P9"/>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4149-1117-0E48-A0FA-B9F8503D8A40}">
  <dimension ref="C7:W21"/>
  <sheetViews>
    <sheetView showGridLines="0" zoomScaleNormal="100" workbookViewId="0"/>
  </sheetViews>
  <sheetFormatPr baseColWidth="10" defaultColWidth="4" defaultRowHeight="20"/>
  <sheetData>
    <row r="7" spans="3:23" ht="54">
      <c r="E7" s="63" t="str">
        <f>ProjectName</f>
        <v>BusinessAutomationTools</v>
      </c>
      <c r="F7" s="63"/>
      <c r="G7" s="63"/>
      <c r="H7" s="63"/>
      <c r="I7" s="63"/>
      <c r="J7" s="63"/>
      <c r="K7" s="63"/>
      <c r="L7" s="63"/>
      <c r="M7" s="63"/>
      <c r="N7" s="63"/>
      <c r="O7" s="63"/>
      <c r="P7" s="63"/>
      <c r="Q7" s="63"/>
      <c r="R7" s="63"/>
      <c r="S7" s="63"/>
      <c r="T7" s="63"/>
      <c r="U7" s="63"/>
    </row>
    <row r="12" spans="3:23">
      <c r="C12" s="8" t="s">
        <v>5</v>
      </c>
      <c r="G12" s="62" t="str">
        <f>SystemName</f>
        <v>CSVBusinessFormatter</v>
      </c>
      <c r="H12" s="62"/>
      <c r="I12" s="62"/>
      <c r="J12" s="62"/>
      <c r="K12" s="62"/>
      <c r="L12" s="62"/>
      <c r="M12" s="62"/>
      <c r="N12" s="62"/>
      <c r="O12" s="62"/>
      <c r="P12" s="62"/>
      <c r="Q12" s="62"/>
      <c r="R12" s="62"/>
      <c r="S12" s="62"/>
      <c r="T12" s="62"/>
      <c r="U12" s="62"/>
      <c r="V12" s="62"/>
      <c r="W12" s="62"/>
    </row>
    <row r="14" spans="3:23">
      <c r="C14" s="8" t="s">
        <v>6</v>
      </c>
      <c r="G14" s="62" t="str">
        <f>ProgramName</f>
        <v>【プログラム】</v>
      </c>
      <c r="H14" s="62"/>
      <c r="I14" s="62"/>
      <c r="J14" s="62"/>
      <c r="K14" s="62"/>
      <c r="L14" s="62"/>
      <c r="M14" s="62"/>
      <c r="N14" s="62"/>
      <c r="O14" s="62"/>
      <c r="P14" s="62"/>
      <c r="Q14" s="62"/>
      <c r="R14" s="62"/>
      <c r="S14" s="62"/>
      <c r="T14" s="62"/>
      <c r="U14" s="62"/>
      <c r="V14" s="62"/>
      <c r="W14" s="62"/>
    </row>
    <row r="16" spans="3:23">
      <c r="C16" s="8" t="s">
        <v>18</v>
      </c>
      <c r="G16" s="62" t="str" cm="1">
        <f t="array" aca="1" ref="G16" ca="1">TEXT(INDIRECT("02_改版履歴!C"&amp;CELL("row", _xlfn.XLOOKUP(MAX(ModNoRange), ModNoRange, ModNoRange))),"0.0.0")</f>
        <v>0.1.0</v>
      </c>
      <c r="H16" s="62"/>
      <c r="I16" s="62"/>
      <c r="J16" s="62"/>
      <c r="K16" s="62"/>
      <c r="L16" s="62"/>
      <c r="M16" s="62"/>
      <c r="N16" s="62"/>
      <c r="O16" s="62"/>
      <c r="P16" s="62"/>
      <c r="Q16" s="62"/>
      <c r="R16" s="62"/>
      <c r="S16" s="62"/>
      <c r="T16" s="62"/>
      <c r="U16" s="62"/>
      <c r="V16" s="62"/>
      <c r="W16" s="62"/>
    </row>
    <row r="18" spans="7:19">
      <c r="G18" s="4" t="s">
        <v>0</v>
      </c>
      <c r="H18" s="2"/>
      <c r="I18" s="3"/>
      <c r="J18" s="2" t="str">
        <f>TEXT(ProjectCreateDate,"yyyy年MM月dd日")</f>
        <v>2026年07月13日</v>
      </c>
      <c r="K18" s="2"/>
      <c r="L18" s="2"/>
      <c r="M18" s="2"/>
      <c r="N18" s="2"/>
      <c r="O18" s="2"/>
      <c r="P18" s="2"/>
      <c r="Q18" s="2"/>
      <c r="R18" s="2"/>
      <c r="S18" s="3"/>
    </row>
    <row r="19" spans="7:19">
      <c r="G19" s="4" t="s">
        <v>1</v>
      </c>
      <c r="H19" s="2"/>
      <c r="I19" s="3"/>
      <c r="J19" s="2" t="str">
        <f>Author</f>
        <v>Florian Seto Jose Satoshi</v>
      </c>
      <c r="K19" s="2"/>
      <c r="L19" s="2"/>
      <c r="M19" s="2"/>
      <c r="N19" s="2"/>
      <c r="O19" s="2"/>
      <c r="P19" s="2"/>
      <c r="Q19" s="2"/>
      <c r="R19" s="2"/>
      <c r="S19" s="3"/>
    </row>
    <row r="20" spans="7:19">
      <c r="G20" s="4" t="s">
        <v>20</v>
      </c>
      <c r="H20" s="2"/>
      <c r="I20" s="3"/>
      <c r="J20" s="2" t="str" cm="1">
        <f t="array" aca="1" ref="J20" ca="1">INDIRECT("02_改版履歴!F"&amp;CELL("row", _xlfn.XLOOKUP(MAX(ModNoRange), ModNoRange, ModNoRange)))</f>
        <v>2026/07/13</v>
      </c>
      <c r="K20" s="2"/>
      <c r="L20" s="2"/>
      <c r="M20" s="2"/>
      <c r="N20" s="2"/>
      <c r="O20" s="2"/>
      <c r="P20" s="2"/>
      <c r="Q20" s="2"/>
      <c r="R20" s="2"/>
      <c r="S20" s="3"/>
    </row>
    <row r="21" spans="7:19">
      <c r="G21" s="4" t="s">
        <v>2</v>
      </c>
      <c r="H21" s="2"/>
      <c r="I21" s="3"/>
      <c r="J21" s="2" t="s">
        <v>22</v>
      </c>
      <c r="K21" s="2"/>
      <c r="L21" s="2"/>
      <c r="M21" s="2"/>
      <c r="N21" s="2"/>
      <c r="O21" s="2"/>
      <c r="P21" s="2"/>
      <c r="Q21" s="2"/>
      <c r="R21" s="2"/>
      <c r="S21" s="3"/>
    </row>
  </sheetData>
  <mergeCells count="4">
    <mergeCell ref="G16:W16"/>
    <mergeCell ref="E7:U7"/>
    <mergeCell ref="G12:W12"/>
    <mergeCell ref="G14:W14"/>
  </mergeCells>
  <phoneticPr fontId="1"/>
  <pageMargins left="0.7" right="0.7" top="0.75" bottom="0.75" header="0.3" footer="0.3"/>
  <pageSetup paperSize="9" scale="73"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FF48-6ADC-7546-B13A-DA9331911FFF}">
  <dimension ref="A1:AC30"/>
  <sheetViews>
    <sheetView showGridLines="0" workbookViewId="0">
      <selection sqref="A1:C1"/>
    </sheetView>
  </sheetViews>
  <sheetFormatPr baseColWidth="10" defaultColWidth="4" defaultRowHeight="20"/>
  <sheetData>
    <row r="1" spans="1:29" ht="21" thickBot="1">
      <c r="A1" s="50" t="s">
        <v>4</v>
      </c>
      <c r="B1" s="51"/>
      <c r="C1" s="52"/>
      <c r="D1" s="9" t="str">
        <f>ProjectName</f>
        <v>BusinessAutomationTools</v>
      </c>
      <c r="E1" s="10"/>
      <c r="F1" s="10"/>
      <c r="G1" s="10"/>
      <c r="H1" s="10"/>
      <c r="I1" s="10"/>
      <c r="J1" s="10"/>
      <c r="K1" s="10"/>
      <c r="L1" s="10"/>
      <c r="M1" s="10"/>
      <c r="N1" s="10"/>
      <c r="O1" s="10"/>
      <c r="P1" s="10"/>
      <c r="Q1" s="10"/>
      <c r="R1" s="10"/>
      <c r="S1" s="10"/>
      <c r="T1" s="11"/>
      <c r="U1" s="12" t="s">
        <v>7</v>
      </c>
      <c r="V1" s="13"/>
      <c r="W1" s="14"/>
      <c r="X1" s="9" t="str" cm="1">
        <f t="array" aca="1" ref="X1" ca="1">INDIRECT("02_改版履歴!F"&amp;CELL("row", _xlfn.XLOOKUP(MAX(ModNoRange), ModNoRange, ModNoRange)))</f>
        <v>2026/07/13</v>
      </c>
      <c r="Y1" s="10"/>
      <c r="Z1" s="10"/>
      <c r="AA1" s="10"/>
      <c r="AB1" s="10"/>
      <c r="AC1" s="11"/>
    </row>
    <row r="2" spans="1:29" ht="21" thickBot="1">
      <c r="A2" s="53" t="s">
        <v>5</v>
      </c>
      <c r="B2" s="54"/>
      <c r="C2" s="55"/>
      <c r="D2" s="5" t="str">
        <f>SystemName</f>
        <v>CSVBusinessFormatter</v>
      </c>
      <c r="E2" s="6"/>
      <c r="F2" s="6"/>
      <c r="G2" s="6"/>
      <c r="H2" s="6"/>
      <c r="I2" s="6"/>
      <c r="J2" s="6"/>
      <c r="K2" s="6"/>
      <c r="L2" s="6"/>
      <c r="M2" s="6"/>
      <c r="N2" s="6"/>
      <c r="O2" s="6"/>
      <c r="P2" s="6"/>
      <c r="Q2" s="6"/>
      <c r="R2" s="6"/>
      <c r="S2" s="6"/>
      <c r="T2" s="7"/>
      <c r="U2" s="15" t="s">
        <v>8</v>
      </c>
      <c r="V2" s="16"/>
      <c r="W2" s="17"/>
      <c r="X2" s="5" t="str" cm="1">
        <f t="array" aca="1" ref="X2" ca="1">INDIRECT("02_改版履歴!I"&amp;CELL("row", _xlfn.XLOOKUP(MAX(ModNoRange), ModNoRange, ModNoRange)))</f>
        <v>Florian Seto Jose Satoshi</v>
      </c>
      <c r="Y2" s="6"/>
      <c r="Z2" s="6"/>
      <c r="AA2" s="6"/>
      <c r="AB2" s="6"/>
      <c r="AC2" s="7"/>
    </row>
    <row r="3" spans="1:29" ht="21" thickBot="1"/>
    <row r="4" spans="1:29" ht="21" thickBot="1">
      <c r="A4" s="12" t="s">
        <v>9</v>
      </c>
      <c r="B4" s="33"/>
      <c r="C4" s="12" t="s">
        <v>19</v>
      </c>
      <c r="D4" s="34"/>
      <c r="E4" s="34"/>
      <c r="F4" s="12" t="s">
        <v>7</v>
      </c>
      <c r="G4" s="34"/>
      <c r="H4" s="33"/>
      <c r="I4" s="34" t="s">
        <v>10</v>
      </c>
      <c r="J4" s="34"/>
      <c r="K4" s="34"/>
      <c r="L4" s="12" t="s">
        <v>11</v>
      </c>
      <c r="M4" s="34"/>
      <c r="N4" s="34"/>
      <c r="O4" s="33"/>
      <c r="P4" s="34" t="s">
        <v>13</v>
      </c>
      <c r="Q4" s="34"/>
      <c r="R4" s="34"/>
      <c r="S4" s="34"/>
      <c r="T4" s="34"/>
      <c r="U4" s="12" t="s">
        <v>12</v>
      </c>
      <c r="V4" s="34"/>
      <c r="W4" s="34"/>
      <c r="X4" s="34"/>
      <c r="Y4" s="34"/>
      <c r="Z4" s="34"/>
      <c r="AA4" s="34"/>
      <c r="AB4" s="34"/>
      <c r="AC4" s="33"/>
    </row>
    <row r="5" spans="1:29">
      <c r="A5" s="28">
        <v>1</v>
      </c>
      <c r="B5" s="29"/>
      <c r="C5" s="30">
        <v>0.1</v>
      </c>
      <c r="D5" s="31"/>
      <c r="E5" s="31"/>
      <c r="F5" s="30" t="str">
        <f>TEXT(ProjectCreateDate,"yyyy/MM/dd")</f>
        <v>2026/07/13</v>
      </c>
      <c r="G5" s="31"/>
      <c r="H5" s="32"/>
      <c r="I5" s="31" t="str">
        <f>Author</f>
        <v>Florian Seto Jose Satoshi</v>
      </c>
      <c r="J5" s="31"/>
      <c r="K5" s="31"/>
      <c r="L5" s="30" t="s">
        <v>14</v>
      </c>
      <c r="M5" s="31"/>
      <c r="N5" s="31"/>
      <c r="O5" s="32"/>
      <c r="P5" s="31" t="s">
        <v>14</v>
      </c>
      <c r="Q5" s="31"/>
      <c r="R5" s="31"/>
      <c r="S5" s="31"/>
      <c r="T5" s="31"/>
      <c r="U5" s="30" t="s">
        <v>15</v>
      </c>
      <c r="V5" s="31"/>
      <c r="W5" s="31"/>
      <c r="X5" s="31"/>
      <c r="Y5" s="31"/>
      <c r="Z5" s="31"/>
      <c r="AA5" s="31"/>
      <c r="AB5" s="31"/>
      <c r="AC5" s="32"/>
    </row>
    <row r="6" spans="1:29">
      <c r="A6" s="24"/>
      <c r="B6" s="25"/>
      <c r="C6" s="18"/>
      <c r="D6" s="19"/>
      <c r="E6" s="19"/>
      <c r="F6" s="18"/>
      <c r="G6" s="19"/>
      <c r="H6" s="20"/>
      <c r="I6" s="19"/>
      <c r="J6" s="19"/>
      <c r="K6" s="19"/>
      <c r="L6" s="18"/>
      <c r="M6" s="19"/>
      <c r="N6" s="19"/>
      <c r="O6" s="20"/>
      <c r="P6" s="19"/>
      <c r="Q6" s="19"/>
      <c r="R6" s="19"/>
      <c r="S6" s="19"/>
      <c r="T6" s="19"/>
      <c r="U6" s="18"/>
      <c r="V6" s="19"/>
      <c r="W6" s="19"/>
      <c r="X6" s="19"/>
      <c r="Y6" s="19"/>
      <c r="Z6" s="19"/>
      <c r="AA6" s="19"/>
      <c r="AB6" s="19"/>
      <c r="AC6" s="20"/>
    </row>
    <row r="7" spans="1:29">
      <c r="A7" s="24"/>
      <c r="B7" s="25"/>
      <c r="C7" s="18"/>
      <c r="D7" s="19"/>
      <c r="E7" s="19"/>
      <c r="F7" s="18"/>
      <c r="G7" s="19"/>
      <c r="H7" s="20"/>
      <c r="I7" s="19"/>
      <c r="J7" s="19"/>
      <c r="K7" s="19"/>
      <c r="L7" s="18"/>
      <c r="M7" s="19"/>
      <c r="N7" s="19"/>
      <c r="O7" s="20"/>
      <c r="P7" s="19"/>
      <c r="Q7" s="19"/>
      <c r="R7" s="19"/>
      <c r="S7" s="19"/>
      <c r="T7" s="19"/>
      <c r="U7" s="18"/>
      <c r="V7" s="19"/>
      <c r="W7" s="19"/>
      <c r="X7" s="19"/>
      <c r="Y7" s="19"/>
      <c r="Z7" s="19"/>
      <c r="AA7" s="19"/>
      <c r="AB7" s="19"/>
      <c r="AC7" s="20"/>
    </row>
    <row r="8" spans="1:29">
      <c r="A8" s="24"/>
      <c r="B8" s="25"/>
      <c r="C8" s="18"/>
      <c r="D8" s="19"/>
      <c r="E8" s="19"/>
      <c r="F8" s="18"/>
      <c r="G8" s="19"/>
      <c r="H8" s="20"/>
      <c r="I8" s="19"/>
      <c r="J8" s="19"/>
      <c r="K8" s="19"/>
      <c r="L8" s="18"/>
      <c r="M8" s="19"/>
      <c r="N8" s="19"/>
      <c r="O8" s="20"/>
      <c r="P8" s="19"/>
      <c r="Q8" s="19"/>
      <c r="R8" s="19"/>
      <c r="S8" s="19"/>
      <c r="T8" s="19"/>
      <c r="U8" s="18"/>
      <c r="V8" s="19"/>
      <c r="W8" s="19"/>
      <c r="X8" s="19"/>
      <c r="Y8" s="19"/>
      <c r="Z8" s="19"/>
      <c r="AA8" s="19"/>
      <c r="AB8" s="19"/>
      <c r="AC8" s="20"/>
    </row>
    <row r="9" spans="1:29">
      <c r="A9" s="24"/>
      <c r="B9" s="25"/>
      <c r="C9" s="18"/>
      <c r="D9" s="19"/>
      <c r="E9" s="19"/>
      <c r="F9" s="18"/>
      <c r="G9" s="19"/>
      <c r="H9" s="20"/>
      <c r="I9" s="19"/>
      <c r="J9" s="19"/>
      <c r="K9" s="19"/>
      <c r="L9" s="18"/>
      <c r="M9" s="19"/>
      <c r="N9" s="19"/>
      <c r="O9" s="20"/>
      <c r="P9" s="19"/>
      <c r="Q9" s="19"/>
      <c r="R9" s="19"/>
      <c r="S9" s="19"/>
      <c r="T9" s="19"/>
      <c r="U9" s="18"/>
      <c r="V9" s="19"/>
      <c r="W9" s="19"/>
      <c r="X9" s="19"/>
      <c r="Y9" s="19"/>
      <c r="Z9" s="19"/>
      <c r="AA9" s="19"/>
      <c r="AB9" s="19"/>
      <c r="AC9" s="20"/>
    </row>
    <row r="10" spans="1:29">
      <c r="A10" s="24"/>
      <c r="B10" s="25"/>
      <c r="C10" s="18"/>
      <c r="D10" s="19"/>
      <c r="E10" s="19"/>
      <c r="F10" s="18"/>
      <c r="G10" s="19"/>
      <c r="H10" s="20"/>
      <c r="I10" s="19"/>
      <c r="J10" s="19"/>
      <c r="K10" s="19"/>
      <c r="L10" s="18"/>
      <c r="M10" s="19"/>
      <c r="N10" s="19"/>
      <c r="O10" s="20"/>
      <c r="P10" s="19"/>
      <c r="Q10" s="19"/>
      <c r="R10" s="19"/>
      <c r="S10" s="19"/>
      <c r="T10" s="19"/>
      <c r="U10" s="18"/>
      <c r="V10" s="19"/>
      <c r="W10" s="19"/>
      <c r="X10" s="19"/>
      <c r="Y10" s="19"/>
      <c r="Z10" s="19"/>
      <c r="AA10" s="19"/>
      <c r="AB10" s="19"/>
      <c r="AC10" s="20"/>
    </row>
    <row r="11" spans="1:29">
      <c r="A11" s="24"/>
      <c r="B11" s="25"/>
      <c r="C11" s="18"/>
      <c r="D11" s="19"/>
      <c r="E11" s="19"/>
      <c r="F11" s="18"/>
      <c r="G11" s="19"/>
      <c r="H11" s="20"/>
      <c r="I11" s="19"/>
      <c r="J11" s="19"/>
      <c r="K11" s="19"/>
      <c r="L11" s="18"/>
      <c r="M11" s="19"/>
      <c r="N11" s="19"/>
      <c r="O11" s="20"/>
      <c r="P11" s="19"/>
      <c r="Q11" s="19"/>
      <c r="R11" s="19"/>
      <c r="S11" s="19"/>
      <c r="T11" s="19"/>
      <c r="U11" s="18"/>
      <c r="V11" s="19"/>
      <c r="W11" s="19"/>
      <c r="X11" s="19"/>
      <c r="Y11" s="19"/>
      <c r="Z11" s="19"/>
      <c r="AA11" s="19"/>
      <c r="AB11" s="19"/>
      <c r="AC11" s="20"/>
    </row>
    <row r="12" spans="1:29">
      <c r="A12" s="24"/>
      <c r="B12" s="25"/>
      <c r="C12" s="18"/>
      <c r="D12" s="19"/>
      <c r="E12" s="19"/>
      <c r="F12" s="18"/>
      <c r="G12" s="19"/>
      <c r="H12" s="20"/>
      <c r="I12" s="19"/>
      <c r="J12" s="19"/>
      <c r="K12" s="19"/>
      <c r="L12" s="18"/>
      <c r="M12" s="19"/>
      <c r="N12" s="19"/>
      <c r="O12" s="20"/>
      <c r="P12" s="19"/>
      <c r="Q12" s="19"/>
      <c r="R12" s="19"/>
      <c r="S12" s="19"/>
      <c r="T12" s="19"/>
      <c r="U12" s="18"/>
      <c r="V12" s="19"/>
      <c r="W12" s="19"/>
      <c r="X12" s="19"/>
      <c r="Y12" s="19"/>
      <c r="Z12" s="19"/>
      <c r="AA12" s="19"/>
      <c r="AB12" s="19"/>
      <c r="AC12" s="20"/>
    </row>
    <row r="13" spans="1:29">
      <c r="A13" s="24"/>
      <c r="B13" s="25"/>
      <c r="C13" s="18"/>
      <c r="D13" s="19"/>
      <c r="E13" s="19"/>
      <c r="F13" s="18"/>
      <c r="G13" s="19"/>
      <c r="H13" s="20"/>
      <c r="I13" s="19"/>
      <c r="J13" s="19"/>
      <c r="K13" s="19"/>
      <c r="L13" s="18"/>
      <c r="M13" s="19"/>
      <c r="N13" s="19"/>
      <c r="O13" s="20"/>
      <c r="P13" s="19"/>
      <c r="Q13" s="19"/>
      <c r="R13" s="19"/>
      <c r="S13" s="19"/>
      <c r="T13" s="19"/>
      <c r="U13" s="18"/>
      <c r="V13" s="19"/>
      <c r="W13" s="19"/>
      <c r="X13" s="19"/>
      <c r="Y13" s="19"/>
      <c r="Z13" s="19"/>
      <c r="AA13" s="19"/>
      <c r="AB13" s="19"/>
      <c r="AC13" s="20"/>
    </row>
    <row r="14" spans="1:29">
      <c r="A14" s="24"/>
      <c r="B14" s="25"/>
      <c r="C14" s="18"/>
      <c r="D14" s="19"/>
      <c r="E14" s="19"/>
      <c r="F14" s="18"/>
      <c r="G14" s="19"/>
      <c r="H14" s="20"/>
      <c r="I14" s="19"/>
      <c r="J14" s="19"/>
      <c r="K14" s="19"/>
      <c r="L14" s="18"/>
      <c r="M14" s="19"/>
      <c r="N14" s="19"/>
      <c r="O14" s="20"/>
      <c r="P14" s="19"/>
      <c r="Q14" s="19"/>
      <c r="R14" s="19"/>
      <c r="S14" s="19"/>
      <c r="T14" s="19"/>
      <c r="U14" s="18"/>
      <c r="V14" s="19"/>
      <c r="W14" s="19"/>
      <c r="X14" s="19"/>
      <c r="Y14" s="19"/>
      <c r="Z14" s="19"/>
      <c r="AA14" s="19"/>
      <c r="AB14" s="19"/>
      <c r="AC14" s="20"/>
    </row>
    <row r="15" spans="1:29">
      <c r="A15" s="24"/>
      <c r="B15" s="25"/>
      <c r="C15" s="18"/>
      <c r="D15" s="19"/>
      <c r="E15" s="19"/>
      <c r="F15" s="18"/>
      <c r="G15" s="19"/>
      <c r="H15" s="20"/>
      <c r="I15" s="19"/>
      <c r="J15" s="19"/>
      <c r="K15" s="19"/>
      <c r="L15" s="18"/>
      <c r="M15" s="19"/>
      <c r="N15" s="19"/>
      <c r="O15" s="20"/>
      <c r="P15" s="19"/>
      <c r="Q15" s="19"/>
      <c r="R15" s="19"/>
      <c r="S15" s="19"/>
      <c r="T15" s="19"/>
      <c r="U15" s="18"/>
      <c r="V15" s="19"/>
      <c r="W15" s="19"/>
      <c r="X15" s="19"/>
      <c r="Y15" s="19"/>
      <c r="Z15" s="19"/>
      <c r="AA15" s="19"/>
      <c r="AB15" s="19"/>
      <c r="AC15" s="20"/>
    </row>
    <row r="16" spans="1:29">
      <c r="A16" s="24"/>
      <c r="B16" s="25"/>
      <c r="C16" s="18"/>
      <c r="D16" s="19"/>
      <c r="E16" s="19"/>
      <c r="F16" s="18"/>
      <c r="G16" s="19"/>
      <c r="H16" s="20"/>
      <c r="I16" s="19"/>
      <c r="J16" s="19"/>
      <c r="K16" s="19"/>
      <c r="L16" s="18"/>
      <c r="M16" s="19"/>
      <c r="N16" s="19"/>
      <c r="O16" s="20"/>
      <c r="P16" s="19"/>
      <c r="Q16" s="19"/>
      <c r="R16" s="19"/>
      <c r="S16" s="19"/>
      <c r="T16" s="19"/>
      <c r="U16" s="18"/>
      <c r="V16" s="19"/>
      <c r="W16" s="19"/>
      <c r="X16" s="19"/>
      <c r="Y16" s="19"/>
      <c r="Z16" s="19"/>
      <c r="AA16" s="19"/>
      <c r="AB16" s="19"/>
      <c r="AC16" s="20"/>
    </row>
    <row r="17" spans="1:29">
      <c r="A17" s="24"/>
      <c r="B17" s="25"/>
      <c r="C17" s="18"/>
      <c r="D17" s="19"/>
      <c r="E17" s="19"/>
      <c r="F17" s="18"/>
      <c r="G17" s="19"/>
      <c r="H17" s="20"/>
      <c r="I17" s="19"/>
      <c r="J17" s="19"/>
      <c r="K17" s="19"/>
      <c r="L17" s="18"/>
      <c r="M17" s="19"/>
      <c r="N17" s="19"/>
      <c r="O17" s="20"/>
      <c r="P17" s="19"/>
      <c r="Q17" s="19"/>
      <c r="R17" s="19"/>
      <c r="S17" s="19"/>
      <c r="T17" s="19"/>
      <c r="U17" s="18"/>
      <c r="V17" s="19"/>
      <c r="W17" s="19"/>
      <c r="X17" s="19"/>
      <c r="Y17" s="19"/>
      <c r="Z17" s="19"/>
      <c r="AA17" s="19"/>
      <c r="AB17" s="19"/>
      <c r="AC17" s="20"/>
    </row>
    <row r="18" spans="1:29">
      <c r="A18" s="24"/>
      <c r="B18" s="25"/>
      <c r="C18" s="18"/>
      <c r="D18" s="19"/>
      <c r="E18" s="19"/>
      <c r="F18" s="18"/>
      <c r="G18" s="19"/>
      <c r="H18" s="20"/>
      <c r="I18" s="19"/>
      <c r="J18" s="19"/>
      <c r="K18" s="19"/>
      <c r="L18" s="18"/>
      <c r="M18" s="19"/>
      <c r="N18" s="19"/>
      <c r="O18" s="20"/>
      <c r="P18" s="19"/>
      <c r="Q18" s="19"/>
      <c r="R18" s="19"/>
      <c r="S18" s="19"/>
      <c r="T18" s="19"/>
      <c r="U18" s="18"/>
      <c r="V18" s="19"/>
      <c r="W18" s="19"/>
      <c r="X18" s="19"/>
      <c r="Y18" s="19"/>
      <c r="Z18" s="19"/>
      <c r="AA18" s="19"/>
      <c r="AB18" s="19"/>
      <c r="AC18" s="20"/>
    </row>
    <row r="19" spans="1:29">
      <c r="A19" s="24"/>
      <c r="B19" s="25"/>
      <c r="C19" s="18"/>
      <c r="D19" s="19"/>
      <c r="E19" s="19"/>
      <c r="F19" s="18"/>
      <c r="G19" s="19"/>
      <c r="H19" s="20"/>
      <c r="I19" s="19"/>
      <c r="J19" s="19"/>
      <c r="K19" s="19"/>
      <c r="L19" s="18"/>
      <c r="M19" s="19"/>
      <c r="N19" s="19"/>
      <c r="O19" s="20"/>
      <c r="P19" s="19"/>
      <c r="Q19" s="19"/>
      <c r="R19" s="19"/>
      <c r="S19" s="19"/>
      <c r="T19" s="19"/>
      <c r="U19" s="18"/>
      <c r="V19" s="19"/>
      <c r="W19" s="19"/>
      <c r="X19" s="19"/>
      <c r="Y19" s="19"/>
      <c r="Z19" s="19"/>
      <c r="AA19" s="19"/>
      <c r="AB19" s="19"/>
      <c r="AC19" s="20"/>
    </row>
    <row r="20" spans="1:29">
      <c r="A20" s="24"/>
      <c r="B20" s="25"/>
      <c r="C20" s="18"/>
      <c r="D20" s="19"/>
      <c r="E20" s="19"/>
      <c r="F20" s="18"/>
      <c r="G20" s="19"/>
      <c r="H20" s="20"/>
      <c r="I20" s="19"/>
      <c r="J20" s="19"/>
      <c r="K20" s="19"/>
      <c r="L20" s="18"/>
      <c r="M20" s="19"/>
      <c r="N20" s="19"/>
      <c r="O20" s="20"/>
      <c r="P20" s="19"/>
      <c r="Q20" s="19"/>
      <c r="R20" s="19"/>
      <c r="S20" s="19"/>
      <c r="T20" s="19"/>
      <c r="U20" s="18"/>
      <c r="V20" s="19"/>
      <c r="W20" s="19"/>
      <c r="X20" s="19"/>
      <c r="Y20" s="19"/>
      <c r="Z20" s="19"/>
      <c r="AA20" s="19"/>
      <c r="AB20" s="19"/>
      <c r="AC20" s="20"/>
    </row>
    <row r="21" spans="1:29">
      <c r="A21" s="24"/>
      <c r="B21" s="25"/>
      <c r="C21" s="18"/>
      <c r="D21" s="19"/>
      <c r="E21" s="19"/>
      <c r="F21" s="18"/>
      <c r="G21" s="19"/>
      <c r="H21" s="20"/>
      <c r="I21" s="19"/>
      <c r="J21" s="19"/>
      <c r="K21" s="19"/>
      <c r="L21" s="18"/>
      <c r="M21" s="19"/>
      <c r="N21" s="19"/>
      <c r="O21" s="20"/>
      <c r="P21" s="19"/>
      <c r="Q21" s="19"/>
      <c r="R21" s="19"/>
      <c r="S21" s="19"/>
      <c r="T21" s="19"/>
      <c r="U21" s="18"/>
      <c r="V21" s="19"/>
      <c r="W21" s="19"/>
      <c r="X21" s="19"/>
      <c r="Y21" s="19"/>
      <c r="Z21" s="19"/>
      <c r="AA21" s="19"/>
      <c r="AB21" s="19"/>
      <c r="AC21" s="20"/>
    </row>
    <row r="22" spans="1:29">
      <c r="A22" s="24"/>
      <c r="B22" s="25"/>
      <c r="C22" s="18"/>
      <c r="D22" s="19"/>
      <c r="E22" s="19"/>
      <c r="F22" s="18"/>
      <c r="G22" s="19"/>
      <c r="H22" s="20"/>
      <c r="I22" s="19"/>
      <c r="J22" s="19"/>
      <c r="K22" s="19"/>
      <c r="L22" s="18"/>
      <c r="M22" s="19"/>
      <c r="N22" s="19"/>
      <c r="O22" s="20"/>
      <c r="P22" s="19"/>
      <c r="Q22" s="19"/>
      <c r="R22" s="19"/>
      <c r="S22" s="19"/>
      <c r="T22" s="19"/>
      <c r="U22" s="18"/>
      <c r="V22" s="19"/>
      <c r="W22" s="19"/>
      <c r="X22" s="19"/>
      <c r="Y22" s="19"/>
      <c r="Z22" s="19"/>
      <c r="AA22" s="19"/>
      <c r="AB22" s="19"/>
      <c r="AC22" s="20"/>
    </row>
    <row r="23" spans="1:29">
      <c r="A23" s="24"/>
      <c r="B23" s="25"/>
      <c r="C23" s="18"/>
      <c r="D23" s="19"/>
      <c r="E23" s="19"/>
      <c r="F23" s="18"/>
      <c r="G23" s="19"/>
      <c r="H23" s="20"/>
      <c r="I23" s="19"/>
      <c r="J23" s="19"/>
      <c r="K23" s="19"/>
      <c r="L23" s="18"/>
      <c r="M23" s="19"/>
      <c r="N23" s="19"/>
      <c r="O23" s="20"/>
      <c r="P23" s="19"/>
      <c r="Q23" s="19"/>
      <c r="R23" s="19"/>
      <c r="S23" s="19"/>
      <c r="T23" s="19"/>
      <c r="U23" s="18"/>
      <c r="V23" s="19"/>
      <c r="W23" s="19"/>
      <c r="X23" s="19"/>
      <c r="Y23" s="19"/>
      <c r="Z23" s="19"/>
      <c r="AA23" s="19"/>
      <c r="AB23" s="19"/>
      <c r="AC23" s="20"/>
    </row>
    <row r="24" spans="1:29">
      <c r="A24" s="24"/>
      <c r="B24" s="25"/>
      <c r="C24" s="18"/>
      <c r="D24" s="19"/>
      <c r="E24" s="19"/>
      <c r="F24" s="18"/>
      <c r="G24" s="19"/>
      <c r="H24" s="20"/>
      <c r="I24" s="19"/>
      <c r="J24" s="19"/>
      <c r="K24" s="19"/>
      <c r="L24" s="18"/>
      <c r="M24" s="19"/>
      <c r="N24" s="19"/>
      <c r="O24" s="20"/>
      <c r="P24" s="19"/>
      <c r="Q24" s="19"/>
      <c r="R24" s="19"/>
      <c r="S24" s="19"/>
      <c r="T24" s="19"/>
      <c r="U24" s="18"/>
      <c r="V24" s="19"/>
      <c r="W24" s="19"/>
      <c r="X24" s="19"/>
      <c r="Y24" s="19"/>
      <c r="Z24" s="19"/>
      <c r="AA24" s="19"/>
      <c r="AB24" s="19"/>
      <c r="AC24" s="20"/>
    </row>
    <row r="25" spans="1:29">
      <c r="A25" s="24"/>
      <c r="B25" s="25"/>
      <c r="C25" s="18"/>
      <c r="D25" s="19"/>
      <c r="E25" s="19"/>
      <c r="F25" s="18"/>
      <c r="G25" s="19"/>
      <c r="H25" s="20"/>
      <c r="I25" s="19"/>
      <c r="J25" s="19"/>
      <c r="K25" s="19"/>
      <c r="L25" s="18"/>
      <c r="M25" s="19"/>
      <c r="N25" s="19"/>
      <c r="O25" s="20"/>
      <c r="P25" s="19"/>
      <c r="Q25" s="19"/>
      <c r="R25" s="19"/>
      <c r="S25" s="19"/>
      <c r="T25" s="19"/>
      <c r="U25" s="18"/>
      <c r="V25" s="19"/>
      <c r="W25" s="19"/>
      <c r="X25" s="19"/>
      <c r="Y25" s="19"/>
      <c r="Z25" s="19"/>
      <c r="AA25" s="19"/>
      <c r="AB25" s="19"/>
      <c r="AC25" s="20"/>
    </row>
    <row r="26" spans="1:29">
      <c r="A26" s="24"/>
      <c r="B26" s="25"/>
      <c r="C26" s="18"/>
      <c r="D26" s="19"/>
      <c r="E26" s="19"/>
      <c r="F26" s="18"/>
      <c r="G26" s="19"/>
      <c r="H26" s="20"/>
      <c r="I26" s="19"/>
      <c r="J26" s="19"/>
      <c r="K26" s="19"/>
      <c r="L26" s="18"/>
      <c r="M26" s="19"/>
      <c r="N26" s="19"/>
      <c r="O26" s="20"/>
      <c r="P26" s="19"/>
      <c r="Q26" s="19"/>
      <c r="R26" s="19"/>
      <c r="S26" s="19"/>
      <c r="T26" s="19"/>
      <c r="U26" s="18"/>
      <c r="V26" s="19"/>
      <c r="W26" s="19"/>
      <c r="X26" s="19"/>
      <c r="Y26" s="19"/>
      <c r="Z26" s="19"/>
      <c r="AA26" s="19"/>
      <c r="AB26" s="19"/>
      <c r="AC26" s="20"/>
    </row>
    <row r="27" spans="1:29">
      <c r="A27" s="24"/>
      <c r="B27" s="25"/>
      <c r="C27" s="18"/>
      <c r="D27" s="19"/>
      <c r="E27" s="19"/>
      <c r="F27" s="18"/>
      <c r="G27" s="19"/>
      <c r="H27" s="20"/>
      <c r="I27" s="19"/>
      <c r="J27" s="19"/>
      <c r="K27" s="19"/>
      <c r="L27" s="18"/>
      <c r="M27" s="19"/>
      <c r="N27" s="19"/>
      <c r="O27" s="20"/>
      <c r="P27" s="19"/>
      <c r="Q27" s="19"/>
      <c r="R27" s="19"/>
      <c r="S27" s="19"/>
      <c r="T27" s="19"/>
      <c r="U27" s="18"/>
      <c r="V27" s="19"/>
      <c r="W27" s="19"/>
      <c r="X27" s="19"/>
      <c r="Y27" s="19"/>
      <c r="Z27" s="19"/>
      <c r="AA27" s="19"/>
      <c r="AB27" s="19"/>
      <c r="AC27" s="20"/>
    </row>
    <row r="28" spans="1:29">
      <c r="A28" s="24"/>
      <c r="B28" s="25"/>
      <c r="C28" s="18"/>
      <c r="D28" s="19"/>
      <c r="E28" s="19"/>
      <c r="F28" s="18"/>
      <c r="G28" s="19"/>
      <c r="H28" s="20"/>
      <c r="I28" s="19"/>
      <c r="J28" s="19"/>
      <c r="K28" s="19"/>
      <c r="L28" s="18"/>
      <c r="M28" s="19"/>
      <c r="N28" s="19"/>
      <c r="O28" s="20"/>
      <c r="P28" s="19"/>
      <c r="Q28" s="19"/>
      <c r="R28" s="19"/>
      <c r="S28" s="19"/>
      <c r="T28" s="19"/>
      <c r="U28" s="18"/>
      <c r="V28" s="19"/>
      <c r="W28" s="19"/>
      <c r="X28" s="19"/>
      <c r="Y28" s="19"/>
      <c r="Z28" s="19"/>
      <c r="AA28" s="19"/>
      <c r="AB28" s="19"/>
      <c r="AC28" s="20"/>
    </row>
    <row r="29" spans="1:29">
      <c r="A29" s="24"/>
      <c r="B29" s="25"/>
      <c r="C29" s="18"/>
      <c r="D29" s="19"/>
      <c r="E29" s="19"/>
      <c r="F29" s="18"/>
      <c r="G29" s="19"/>
      <c r="H29" s="20"/>
      <c r="I29" s="19"/>
      <c r="J29" s="19"/>
      <c r="K29" s="19"/>
      <c r="L29" s="18"/>
      <c r="M29" s="19"/>
      <c r="N29" s="19"/>
      <c r="O29" s="20"/>
      <c r="P29" s="19"/>
      <c r="Q29" s="19"/>
      <c r="R29" s="19"/>
      <c r="S29" s="19"/>
      <c r="T29" s="19"/>
      <c r="U29" s="18"/>
      <c r="V29" s="19"/>
      <c r="W29" s="19"/>
      <c r="X29" s="19"/>
      <c r="Y29" s="19"/>
      <c r="Z29" s="19"/>
      <c r="AA29" s="19"/>
      <c r="AB29" s="19"/>
      <c r="AC29" s="20"/>
    </row>
    <row r="30" spans="1:29" ht="21" thickBot="1">
      <c r="A30" s="26"/>
      <c r="B30" s="27"/>
      <c r="C30" s="21"/>
      <c r="D30" s="22"/>
      <c r="E30" s="22"/>
      <c r="F30" s="21"/>
      <c r="G30" s="22"/>
      <c r="H30" s="23"/>
      <c r="I30" s="22"/>
      <c r="J30" s="22"/>
      <c r="K30" s="22"/>
      <c r="L30" s="21"/>
      <c r="M30" s="22"/>
      <c r="N30" s="22"/>
      <c r="O30" s="23"/>
      <c r="P30" s="22"/>
      <c r="Q30" s="22"/>
      <c r="R30" s="22"/>
      <c r="S30" s="22"/>
      <c r="T30" s="22"/>
      <c r="U30" s="21"/>
      <c r="V30" s="22"/>
      <c r="W30" s="22"/>
      <c r="X30" s="22"/>
      <c r="Y30" s="22"/>
      <c r="Z30" s="22"/>
      <c r="AA30" s="22"/>
      <c r="AB30" s="22"/>
      <c r="AC30" s="23"/>
    </row>
  </sheetData>
  <mergeCells count="2">
    <mergeCell ref="A1:C1"/>
    <mergeCell ref="A2:C2"/>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9E76-DB0E-DA45-B74F-11D5C5B49F0A}">
  <dimension ref="A1:AK39"/>
  <sheetViews>
    <sheetView showGridLines="0" workbookViewId="0">
      <selection sqref="A1:C1"/>
    </sheetView>
  </sheetViews>
  <sheetFormatPr baseColWidth="10" defaultColWidth="4" defaultRowHeight="20"/>
  <sheetData>
    <row r="1" spans="1:37" ht="21" thickBot="1">
      <c r="A1" s="50" t="s">
        <v>4</v>
      </c>
      <c r="B1" s="51"/>
      <c r="C1" s="52"/>
      <c r="D1" s="9" t="str">
        <f>ProjectName</f>
        <v>BusinessAutomationTools</v>
      </c>
      <c r="E1" s="10"/>
      <c r="F1" s="10"/>
      <c r="G1" s="10"/>
      <c r="H1" s="10"/>
      <c r="I1" s="10"/>
      <c r="J1" s="10"/>
      <c r="K1" s="10"/>
      <c r="L1" s="10"/>
      <c r="M1" s="10"/>
      <c r="N1" s="10"/>
      <c r="O1" s="10"/>
      <c r="P1" s="10"/>
      <c r="Q1" s="10"/>
      <c r="R1" s="10"/>
      <c r="S1" s="10"/>
      <c r="T1" s="11"/>
      <c r="U1" s="12" t="s">
        <v>7</v>
      </c>
      <c r="V1" s="13"/>
      <c r="W1" s="14"/>
      <c r="X1" s="9" t="str" cm="1">
        <f t="array" aca="1" ref="X1" ca="1">INDIRECT("02_改版履歴!F"&amp;CELL("row", _xlfn.XLOOKUP(MAX(ModNoRange), ModNoRange, ModNoRange)))</f>
        <v>2026/07/13</v>
      </c>
      <c r="Y1" s="10"/>
      <c r="Z1" s="10"/>
      <c r="AA1" s="10"/>
      <c r="AB1" s="10"/>
      <c r="AC1" s="11"/>
    </row>
    <row r="2" spans="1:37" ht="21" thickBot="1">
      <c r="A2" s="53" t="s">
        <v>5</v>
      </c>
      <c r="B2" s="54"/>
      <c r="C2" s="55"/>
      <c r="D2" s="5" t="str">
        <f>SystemName</f>
        <v>CSVBusinessFormatter</v>
      </c>
      <c r="E2" s="6"/>
      <c r="F2" s="6"/>
      <c r="G2" s="6"/>
      <c r="H2" s="6"/>
      <c r="I2" s="6"/>
      <c r="J2" s="6"/>
      <c r="K2" s="6"/>
      <c r="L2" s="6"/>
      <c r="M2" s="6"/>
      <c r="N2" s="6"/>
      <c r="O2" s="6"/>
      <c r="P2" s="6"/>
      <c r="Q2" s="6"/>
      <c r="R2" s="6"/>
      <c r="S2" s="6"/>
      <c r="T2" s="7"/>
      <c r="U2" s="15" t="s">
        <v>8</v>
      </c>
      <c r="V2" s="16"/>
      <c r="W2" s="17"/>
      <c r="X2" s="5" t="str" cm="1">
        <f t="array" aca="1" ref="X2" ca="1">INDIRECT("02_改版履歴!I"&amp;CELL("row", _xlfn.XLOOKUP(MAX(ModNoRange), ModNoRange, ModNoRange)))</f>
        <v>Florian Seto Jose Satoshi</v>
      </c>
      <c r="Y2" s="6"/>
      <c r="Z2" s="6"/>
      <c r="AA2" s="6"/>
      <c r="AB2" s="6"/>
      <c r="AC2" s="7"/>
      <c r="AK2" s="44"/>
    </row>
    <row r="3" spans="1:37">
      <c r="AK3" s="44"/>
    </row>
    <row r="4" spans="1:37">
      <c r="A4" s="8" t="s">
        <v>16</v>
      </c>
      <c r="AK4" s="44"/>
    </row>
    <row r="5" spans="1:37">
      <c r="A5" s="35" t="s">
        <v>17</v>
      </c>
      <c r="B5" t="s">
        <v>55</v>
      </c>
      <c r="AK5" s="44"/>
    </row>
    <row r="6" spans="1:37">
      <c r="AK6" s="44"/>
    </row>
    <row r="7" spans="1:37">
      <c r="A7" s="8" t="s">
        <v>28</v>
      </c>
      <c r="AK7" s="44"/>
    </row>
    <row r="8" spans="1:37">
      <c r="A8" s="35" t="s">
        <v>17</v>
      </c>
      <c r="B8" t="s">
        <v>63</v>
      </c>
      <c r="AK8" s="45"/>
    </row>
    <row r="9" spans="1:37">
      <c r="A9" s="35" t="s">
        <v>17</v>
      </c>
      <c r="B9" t="s">
        <v>64</v>
      </c>
      <c r="AK9" s="45"/>
    </row>
    <row r="10" spans="1:37">
      <c r="A10" s="35" t="s">
        <v>17</v>
      </c>
      <c r="B10" t="s">
        <v>65</v>
      </c>
      <c r="AK10" s="45"/>
    </row>
    <row r="11" spans="1:37">
      <c r="A11" s="35" t="s">
        <v>17</v>
      </c>
      <c r="B11" t="s">
        <v>66</v>
      </c>
      <c r="AK11" s="45"/>
    </row>
    <row r="12" spans="1:37">
      <c r="A12" s="35" t="s">
        <v>17</v>
      </c>
      <c r="B12" t="s">
        <v>67</v>
      </c>
      <c r="AK12" s="45"/>
    </row>
    <row r="13" spans="1:37">
      <c r="A13" s="35" t="s">
        <v>17</v>
      </c>
      <c r="B13" t="s">
        <v>68</v>
      </c>
      <c r="AK13" s="45"/>
    </row>
    <row r="14" spans="1:37">
      <c r="AK14" s="45"/>
    </row>
    <row r="15" spans="1:37" ht="21" thickBot="1">
      <c r="A15" s="8" t="s">
        <v>25</v>
      </c>
      <c r="AK15" s="45"/>
    </row>
    <row r="16" spans="1:37" ht="21" thickBot="1">
      <c r="A16" s="36" t="s">
        <v>30</v>
      </c>
      <c r="B16" s="37"/>
      <c r="C16" s="37"/>
      <c r="D16" s="36" t="s">
        <v>25</v>
      </c>
      <c r="E16" s="37"/>
      <c r="F16" s="37"/>
      <c r="G16" s="37"/>
      <c r="H16" s="37"/>
      <c r="I16" s="37"/>
      <c r="J16" s="37"/>
      <c r="K16" s="37"/>
      <c r="L16" s="37"/>
      <c r="M16" s="40"/>
      <c r="N16" s="37" t="s">
        <v>29</v>
      </c>
      <c r="O16" s="38"/>
      <c r="P16" s="38"/>
      <c r="Q16" s="38"/>
      <c r="R16" s="38"/>
      <c r="S16" s="38"/>
      <c r="T16" s="38"/>
      <c r="U16" s="38"/>
      <c r="V16" s="38"/>
      <c r="W16" s="38"/>
      <c r="X16" s="38"/>
      <c r="Y16" s="38"/>
      <c r="Z16" s="38"/>
      <c r="AA16" s="38"/>
      <c r="AB16" s="38"/>
      <c r="AC16" s="39"/>
    </row>
    <row r="17" spans="1:29">
      <c r="A17" s="30" t="s">
        <v>31</v>
      </c>
      <c r="B17" s="31"/>
      <c r="C17" s="31"/>
      <c r="D17" s="46" t="s">
        <v>69</v>
      </c>
      <c r="E17" s="31"/>
      <c r="F17" s="31"/>
      <c r="G17" s="31"/>
      <c r="H17" s="31"/>
      <c r="I17" s="31"/>
      <c r="J17" s="31"/>
      <c r="K17" s="31"/>
      <c r="L17" s="31"/>
      <c r="M17" s="32"/>
      <c r="N17" s="31" t="s">
        <v>325</v>
      </c>
      <c r="O17" s="31"/>
      <c r="P17" s="31"/>
      <c r="Q17" s="31"/>
      <c r="R17" s="31"/>
      <c r="S17" s="31"/>
      <c r="T17" s="31"/>
      <c r="U17" s="31"/>
      <c r="V17" s="31"/>
      <c r="W17" s="31"/>
      <c r="X17" s="31"/>
      <c r="Y17" s="31"/>
      <c r="Z17" s="31"/>
      <c r="AA17" s="31"/>
      <c r="AB17" s="31"/>
      <c r="AC17" s="32"/>
    </row>
    <row r="18" spans="1:29">
      <c r="A18" s="18" t="s">
        <v>32</v>
      </c>
      <c r="B18" s="19"/>
      <c r="C18" s="19"/>
      <c r="D18" s="18" t="s">
        <v>70</v>
      </c>
      <c r="E18" s="19"/>
      <c r="F18" s="19"/>
      <c r="G18" s="19"/>
      <c r="H18" s="19"/>
      <c r="I18" s="19"/>
      <c r="J18" s="19"/>
      <c r="K18" s="19"/>
      <c r="L18" s="19"/>
      <c r="M18" s="20"/>
      <c r="N18" s="19" t="s">
        <v>326</v>
      </c>
      <c r="O18" s="19"/>
      <c r="P18" s="19"/>
      <c r="Q18" s="19"/>
      <c r="R18" s="19"/>
      <c r="S18" s="19"/>
      <c r="T18" s="19"/>
      <c r="U18" s="19"/>
      <c r="V18" s="19"/>
      <c r="W18" s="19"/>
      <c r="X18" s="19"/>
      <c r="Y18" s="19"/>
      <c r="Z18" s="19"/>
      <c r="AA18" s="19"/>
      <c r="AB18" s="19"/>
      <c r="AC18" s="20"/>
    </row>
    <row r="19" spans="1:29">
      <c r="A19" s="18" t="s">
        <v>33</v>
      </c>
      <c r="B19" s="19"/>
      <c r="C19" s="19"/>
      <c r="D19" s="18" t="s">
        <v>71</v>
      </c>
      <c r="E19" s="19"/>
      <c r="F19" s="19"/>
      <c r="G19" s="19"/>
      <c r="H19" s="19"/>
      <c r="I19" s="19"/>
      <c r="J19" s="19"/>
      <c r="K19" s="19"/>
      <c r="L19" s="19"/>
      <c r="M19" s="20"/>
      <c r="N19" s="19" t="s">
        <v>327</v>
      </c>
      <c r="O19" s="19"/>
      <c r="P19" s="19"/>
      <c r="Q19" s="19"/>
      <c r="R19" s="19"/>
      <c r="S19" s="19"/>
      <c r="T19" s="19"/>
      <c r="U19" s="19"/>
      <c r="V19" s="19"/>
      <c r="W19" s="19"/>
      <c r="X19" s="19"/>
      <c r="Y19" s="19"/>
      <c r="Z19" s="19"/>
      <c r="AA19" s="19"/>
      <c r="AB19" s="19"/>
      <c r="AC19" s="20"/>
    </row>
    <row r="20" spans="1:29">
      <c r="A20" s="18" t="s">
        <v>34</v>
      </c>
      <c r="B20" s="19"/>
      <c r="C20" s="19"/>
      <c r="D20" s="18" t="s">
        <v>72</v>
      </c>
      <c r="E20" s="19"/>
      <c r="F20" s="19"/>
      <c r="G20" s="19"/>
      <c r="H20" s="19"/>
      <c r="I20" s="19"/>
      <c r="J20" s="19"/>
      <c r="K20" s="19"/>
      <c r="L20" s="19"/>
      <c r="M20" s="20"/>
      <c r="N20" s="19" t="s">
        <v>328</v>
      </c>
      <c r="O20" s="19"/>
      <c r="P20" s="19"/>
      <c r="Q20" s="19"/>
      <c r="R20" s="19"/>
      <c r="S20" s="19"/>
      <c r="T20" s="19"/>
      <c r="U20" s="19"/>
      <c r="V20" s="19"/>
      <c r="W20" s="19"/>
      <c r="X20" s="19"/>
      <c r="Y20" s="19"/>
      <c r="Z20" s="19"/>
      <c r="AA20" s="19"/>
      <c r="AB20" s="19"/>
      <c r="AC20" s="20"/>
    </row>
    <row r="21" spans="1:29" ht="21" thickBot="1">
      <c r="A21" s="21" t="s">
        <v>35</v>
      </c>
      <c r="B21" s="22"/>
      <c r="C21" s="22"/>
      <c r="D21" s="21" t="s">
        <v>73</v>
      </c>
      <c r="E21" s="22"/>
      <c r="F21" s="22"/>
      <c r="G21" s="22"/>
      <c r="H21" s="22"/>
      <c r="I21" s="22"/>
      <c r="J21" s="22"/>
      <c r="K21" s="22"/>
      <c r="L21" s="22"/>
      <c r="M21" s="23"/>
      <c r="N21" s="22" t="s">
        <v>329</v>
      </c>
      <c r="O21" s="22"/>
      <c r="P21" s="22"/>
      <c r="Q21" s="22"/>
      <c r="R21" s="22"/>
      <c r="S21" s="22"/>
      <c r="T21" s="22"/>
      <c r="U21" s="22"/>
      <c r="V21" s="22"/>
      <c r="W21" s="22"/>
      <c r="X21" s="22"/>
      <c r="Y21" s="22"/>
      <c r="Z21" s="22"/>
      <c r="AA21" s="22"/>
      <c r="AB21" s="22"/>
      <c r="AC21" s="23"/>
    </row>
    <row r="23" spans="1:29">
      <c r="A23" s="8" t="s">
        <v>26</v>
      </c>
    </row>
    <row r="24" spans="1:29">
      <c r="A24" s="35" t="s">
        <v>17</v>
      </c>
      <c r="B24" t="s">
        <v>74</v>
      </c>
    </row>
    <row r="25" spans="1:29">
      <c r="A25" s="35" t="s">
        <v>17</v>
      </c>
      <c r="B25" t="s">
        <v>75</v>
      </c>
    </row>
    <row r="26" spans="1:29">
      <c r="A26" s="35" t="s">
        <v>17</v>
      </c>
      <c r="B26" t="s">
        <v>76</v>
      </c>
    </row>
    <row r="28" spans="1:29" ht="21" thickBot="1">
      <c r="A28" s="8" t="s">
        <v>27</v>
      </c>
    </row>
    <row r="29" spans="1:29" ht="21" thickBot="1">
      <c r="A29" s="66" t="s">
        <v>330</v>
      </c>
      <c r="B29" s="38"/>
      <c r="C29" s="38"/>
      <c r="D29" s="38"/>
      <c r="E29" s="39"/>
      <c r="F29" s="38" t="s">
        <v>351</v>
      </c>
      <c r="G29" s="38"/>
      <c r="H29" s="38"/>
      <c r="I29" s="38"/>
      <c r="J29" s="38"/>
      <c r="K29" s="38"/>
      <c r="L29" s="38"/>
      <c r="M29" s="38"/>
      <c r="N29" s="38"/>
      <c r="O29" s="38"/>
      <c r="P29" s="39"/>
    </row>
    <row r="30" spans="1:29">
      <c r="A30" s="30" t="s">
        <v>331</v>
      </c>
      <c r="B30" s="31"/>
      <c r="C30" s="31"/>
      <c r="D30" s="31"/>
      <c r="E30" s="32"/>
      <c r="F30" s="31" t="s">
        <v>332</v>
      </c>
      <c r="G30" s="31"/>
      <c r="H30" s="31"/>
      <c r="I30" s="31"/>
      <c r="J30" s="31"/>
      <c r="K30" s="31"/>
      <c r="L30" s="31"/>
      <c r="M30" s="31"/>
      <c r="N30" s="31"/>
      <c r="O30" s="31"/>
      <c r="P30" s="32"/>
    </row>
    <row r="31" spans="1:29">
      <c r="A31" s="18" t="s">
        <v>333</v>
      </c>
      <c r="B31" s="19"/>
      <c r="C31" s="19"/>
      <c r="D31" s="19"/>
      <c r="E31" s="20"/>
      <c r="F31" s="19" t="s">
        <v>334</v>
      </c>
      <c r="G31" s="19"/>
      <c r="H31" s="19"/>
      <c r="I31" s="19"/>
      <c r="J31" s="19"/>
      <c r="K31" s="19"/>
      <c r="L31" s="19"/>
      <c r="M31" s="19"/>
      <c r="N31" s="19"/>
      <c r="O31" s="19"/>
      <c r="P31" s="20"/>
    </row>
    <row r="32" spans="1:29">
      <c r="A32" s="18" t="s">
        <v>335</v>
      </c>
      <c r="B32" s="19"/>
      <c r="C32" s="19"/>
      <c r="D32" s="19"/>
      <c r="E32" s="20"/>
      <c r="F32" s="19" t="s">
        <v>336</v>
      </c>
      <c r="G32" s="19"/>
      <c r="H32" s="19"/>
      <c r="I32" s="19"/>
      <c r="J32" s="19"/>
      <c r="K32" s="19"/>
      <c r="L32" s="19"/>
      <c r="M32" s="19"/>
      <c r="N32" s="19"/>
      <c r="O32" s="19"/>
      <c r="P32" s="20"/>
    </row>
    <row r="33" spans="1:16">
      <c r="A33" s="18" t="s">
        <v>337</v>
      </c>
      <c r="B33" s="19"/>
      <c r="C33" s="19"/>
      <c r="D33" s="19"/>
      <c r="E33" s="20"/>
      <c r="F33" s="19" t="s">
        <v>338</v>
      </c>
      <c r="G33" s="19"/>
      <c r="H33" s="19"/>
      <c r="I33" s="19"/>
      <c r="J33" s="19"/>
      <c r="K33" s="19"/>
      <c r="L33" s="19"/>
      <c r="M33" s="19"/>
      <c r="N33" s="19"/>
      <c r="O33" s="19"/>
      <c r="P33" s="20"/>
    </row>
    <row r="34" spans="1:16">
      <c r="A34" s="18" t="s">
        <v>339</v>
      </c>
      <c r="B34" s="19"/>
      <c r="C34" s="19"/>
      <c r="D34" s="19"/>
      <c r="E34" s="20"/>
      <c r="F34" s="19" t="s">
        <v>340</v>
      </c>
      <c r="G34" s="19"/>
      <c r="H34" s="19"/>
      <c r="I34" s="19"/>
      <c r="J34" s="19"/>
      <c r="K34" s="19"/>
      <c r="L34" s="19"/>
      <c r="M34" s="19"/>
      <c r="N34" s="19"/>
      <c r="O34" s="19"/>
      <c r="P34" s="20"/>
    </row>
    <row r="35" spans="1:16">
      <c r="A35" s="18" t="s">
        <v>341</v>
      </c>
      <c r="B35" s="19"/>
      <c r="C35" s="19"/>
      <c r="D35" s="19"/>
      <c r="E35" s="20"/>
      <c r="F35" s="19" t="s">
        <v>342</v>
      </c>
      <c r="G35" s="19"/>
      <c r="H35" s="19"/>
      <c r="I35" s="19"/>
      <c r="J35" s="19"/>
      <c r="K35" s="19"/>
      <c r="L35" s="19"/>
      <c r="M35" s="19"/>
      <c r="N35" s="19"/>
      <c r="O35" s="19"/>
      <c r="P35" s="20"/>
    </row>
    <row r="36" spans="1:16">
      <c r="A36" s="18" t="s">
        <v>343</v>
      </c>
      <c r="B36" s="19"/>
      <c r="C36" s="19"/>
      <c r="D36" s="19"/>
      <c r="E36" s="20"/>
      <c r="F36" s="19" t="s">
        <v>344</v>
      </c>
      <c r="G36" s="19"/>
      <c r="H36" s="19"/>
      <c r="I36" s="19"/>
      <c r="J36" s="19"/>
      <c r="K36" s="19"/>
      <c r="L36" s="19"/>
      <c r="M36" s="19"/>
      <c r="N36" s="19"/>
      <c r="O36" s="19"/>
      <c r="P36" s="20"/>
    </row>
    <row r="37" spans="1:16">
      <c r="A37" s="18" t="s">
        <v>345</v>
      </c>
      <c r="B37" s="19"/>
      <c r="C37" s="19"/>
      <c r="D37" s="19"/>
      <c r="E37" s="20"/>
      <c r="F37" s="19" t="s">
        <v>346</v>
      </c>
      <c r="G37" s="19"/>
      <c r="H37" s="19"/>
      <c r="I37" s="19"/>
      <c r="J37" s="19"/>
      <c r="K37" s="19"/>
      <c r="L37" s="19"/>
      <c r="M37" s="19"/>
      <c r="N37" s="19"/>
      <c r="O37" s="19"/>
      <c r="P37" s="20"/>
    </row>
    <row r="38" spans="1:16">
      <c r="A38" s="18" t="s">
        <v>347</v>
      </c>
      <c r="B38" s="19"/>
      <c r="C38" s="19"/>
      <c r="D38" s="19"/>
      <c r="E38" s="20"/>
      <c r="F38" s="19" t="s">
        <v>348</v>
      </c>
      <c r="G38" s="19"/>
      <c r="H38" s="19"/>
      <c r="I38" s="19"/>
      <c r="J38" s="19"/>
      <c r="K38" s="19"/>
      <c r="L38" s="19"/>
      <c r="M38" s="19"/>
      <c r="N38" s="19"/>
      <c r="O38" s="19"/>
      <c r="P38" s="20"/>
    </row>
    <row r="39" spans="1:16" ht="21" thickBot="1">
      <c r="A39" s="21" t="s">
        <v>349</v>
      </c>
      <c r="B39" s="22"/>
      <c r="C39" s="22"/>
      <c r="D39" s="22"/>
      <c r="E39" s="23"/>
      <c r="F39" s="22" t="s">
        <v>350</v>
      </c>
      <c r="G39" s="22"/>
      <c r="H39" s="22"/>
      <c r="I39" s="22"/>
      <c r="J39" s="22"/>
      <c r="K39" s="22"/>
      <c r="L39" s="22"/>
      <c r="M39" s="22"/>
      <c r="N39" s="22"/>
      <c r="O39" s="22"/>
      <c r="P39" s="23"/>
    </row>
  </sheetData>
  <mergeCells count="2">
    <mergeCell ref="A1:C1"/>
    <mergeCell ref="A2:C2"/>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6457-1539-C64C-B35C-81993878239B}">
  <dimension ref="A1:AP69"/>
  <sheetViews>
    <sheetView showGridLines="0" tabSelected="1" workbookViewId="0">
      <selection sqref="A1:C1"/>
    </sheetView>
  </sheetViews>
  <sheetFormatPr baseColWidth="10" defaultColWidth="4" defaultRowHeight="20"/>
  <sheetData>
    <row r="1" spans="1:42" ht="21" thickBot="1">
      <c r="A1" s="50" t="s">
        <v>4</v>
      </c>
      <c r="B1" s="51"/>
      <c r="C1" s="52"/>
      <c r="D1" s="9" t="str">
        <f>ProjectName</f>
        <v>BusinessAutomationTools</v>
      </c>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1"/>
      <c r="AH1" s="12" t="s">
        <v>7</v>
      </c>
      <c r="AI1" s="13"/>
      <c r="AJ1" s="14"/>
      <c r="AK1" s="9" t="str" cm="1">
        <f t="array" aca="1" ref="AK1" ca="1">INDIRECT("02_改版履歴!F"&amp;CELL("row", _xlfn.XLOOKUP(MAX(ModNoRange), ModNoRange, ModNoRange)))</f>
        <v>2026/07/13</v>
      </c>
      <c r="AL1" s="10"/>
      <c r="AM1" s="10"/>
      <c r="AN1" s="10"/>
      <c r="AO1" s="10"/>
      <c r="AP1" s="11"/>
    </row>
    <row r="2" spans="1:42" ht="21" thickBot="1">
      <c r="A2" s="53" t="s">
        <v>5</v>
      </c>
      <c r="B2" s="54"/>
      <c r="C2" s="55"/>
      <c r="D2" s="5" t="str">
        <f>SystemName</f>
        <v>CSVBusinessFormatter</v>
      </c>
      <c r="E2" s="6"/>
      <c r="F2" s="6"/>
      <c r="G2" s="6"/>
      <c r="H2" s="6"/>
      <c r="I2" s="6"/>
      <c r="J2" s="6"/>
      <c r="K2" s="6"/>
      <c r="L2" s="6"/>
      <c r="M2" s="6"/>
      <c r="N2" s="6"/>
      <c r="O2" s="6"/>
      <c r="P2" s="6"/>
      <c r="Q2" s="6"/>
      <c r="R2" s="6"/>
      <c r="S2" s="6"/>
      <c r="T2" s="6"/>
      <c r="U2" s="6"/>
      <c r="V2" s="6"/>
      <c r="W2" s="6"/>
      <c r="X2" s="6"/>
      <c r="Y2" s="6"/>
      <c r="Z2" s="6"/>
      <c r="AA2" s="6"/>
      <c r="AB2" s="6"/>
      <c r="AC2" s="6"/>
      <c r="AD2" s="6"/>
      <c r="AE2" s="6"/>
      <c r="AF2" s="6"/>
      <c r="AG2" s="7"/>
      <c r="AH2" s="15" t="s">
        <v>8</v>
      </c>
      <c r="AI2" s="16"/>
      <c r="AJ2" s="17"/>
      <c r="AK2" s="5" t="str" cm="1">
        <f t="array" aca="1" ref="AK2" ca="1">INDIRECT("02_改版履歴!I"&amp;CELL("row", _xlfn.XLOOKUP(MAX(ModNoRange), ModNoRange, ModNoRange)))</f>
        <v>Florian Seto Jose Satoshi</v>
      </c>
      <c r="AL2" s="6"/>
      <c r="AM2" s="6"/>
      <c r="AN2" s="6"/>
      <c r="AO2" s="6"/>
      <c r="AP2" s="7"/>
    </row>
    <row r="4" spans="1:42" ht="21" thickBot="1">
      <c r="A4" s="8" t="s">
        <v>36</v>
      </c>
    </row>
    <row r="5" spans="1:42" ht="21" thickBot="1">
      <c r="A5" s="67" t="s">
        <v>37</v>
      </c>
      <c r="B5" s="68"/>
      <c r="C5" s="69"/>
      <c r="D5" s="67" t="s">
        <v>58</v>
      </c>
      <c r="E5" s="68"/>
      <c r="F5" s="68"/>
      <c r="G5" s="69"/>
      <c r="H5" s="67" t="s">
        <v>38</v>
      </c>
      <c r="I5" s="69"/>
      <c r="J5" s="67" t="s">
        <v>39</v>
      </c>
      <c r="K5" s="69"/>
      <c r="L5" s="67" t="s">
        <v>56</v>
      </c>
      <c r="M5" s="69"/>
      <c r="N5" s="67" t="s">
        <v>57</v>
      </c>
      <c r="O5" s="68"/>
      <c r="P5" s="69"/>
      <c r="Q5" s="67" t="s">
        <v>40</v>
      </c>
      <c r="R5" s="68"/>
      <c r="S5" s="68"/>
      <c r="T5" s="68"/>
      <c r="U5" s="69"/>
      <c r="V5" s="67" t="s">
        <v>41</v>
      </c>
      <c r="W5" s="68"/>
      <c r="X5" s="68"/>
      <c r="Y5" s="68"/>
      <c r="Z5" s="68"/>
      <c r="AA5" s="69"/>
      <c r="AB5" s="67" t="s">
        <v>42</v>
      </c>
      <c r="AC5" s="68"/>
      <c r="AD5" s="68"/>
      <c r="AE5" s="68"/>
      <c r="AF5" s="68"/>
      <c r="AG5" s="68"/>
      <c r="AH5" s="68"/>
      <c r="AI5" s="69"/>
      <c r="AJ5" s="67" t="s">
        <v>43</v>
      </c>
      <c r="AK5" s="69"/>
      <c r="AL5" s="67" t="s">
        <v>59</v>
      </c>
      <c r="AM5" s="68"/>
      <c r="AN5" s="68"/>
      <c r="AO5" s="68"/>
      <c r="AP5" s="69"/>
    </row>
    <row r="6" spans="1:42">
      <c r="A6" s="30" t="s">
        <v>44</v>
      </c>
      <c r="B6" s="43"/>
      <c r="C6" s="31"/>
      <c r="D6" s="46" t="s">
        <v>69</v>
      </c>
      <c r="E6" s="31"/>
      <c r="F6" s="31"/>
      <c r="G6" s="32"/>
      <c r="H6" s="30" t="s">
        <v>49</v>
      </c>
      <c r="I6" s="31"/>
      <c r="J6" s="30" t="s">
        <v>23</v>
      </c>
      <c r="K6" s="31"/>
      <c r="L6" s="28" t="s">
        <v>320</v>
      </c>
      <c r="M6" s="29"/>
      <c r="N6" s="64" t="s">
        <v>323</v>
      </c>
      <c r="O6" s="31"/>
      <c r="P6" s="32"/>
      <c r="Q6" s="30" t="s">
        <v>110</v>
      </c>
      <c r="R6" s="31"/>
      <c r="S6" s="31"/>
      <c r="T6" s="31"/>
      <c r="U6" s="32"/>
      <c r="V6" s="31" t="s">
        <v>77</v>
      </c>
      <c r="W6" s="31"/>
      <c r="X6" s="31"/>
      <c r="Y6" s="31"/>
      <c r="Z6" s="31"/>
      <c r="AA6" s="31"/>
      <c r="AB6" s="30" t="s">
        <v>78</v>
      </c>
      <c r="AC6" s="31"/>
      <c r="AD6" s="31"/>
      <c r="AE6" s="31"/>
      <c r="AF6" s="31"/>
      <c r="AG6" s="31"/>
      <c r="AH6" s="31"/>
      <c r="AI6" s="31"/>
      <c r="AJ6" s="30" t="s">
        <v>53</v>
      </c>
      <c r="AK6" s="32"/>
      <c r="AL6" s="31" t="s">
        <v>105</v>
      </c>
      <c r="AM6" s="31"/>
      <c r="AN6" s="31"/>
      <c r="AO6" s="31"/>
      <c r="AP6" s="32"/>
    </row>
    <row r="7" spans="1:42">
      <c r="A7" s="18" t="s">
        <v>45</v>
      </c>
      <c r="B7" s="41"/>
      <c r="C7" s="19"/>
      <c r="D7" s="18" t="s">
        <v>69</v>
      </c>
      <c r="E7" s="19"/>
      <c r="F7" s="19"/>
      <c r="G7" s="20"/>
      <c r="H7" s="30" t="s">
        <v>49</v>
      </c>
      <c r="I7" s="19"/>
      <c r="J7" s="18" t="s">
        <v>52</v>
      </c>
      <c r="K7" s="19"/>
      <c r="L7" s="28" t="s">
        <v>320</v>
      </c>
      <c r="M7" s="29"/>
      <c r="N7" s="64" t="s">
        <v>323</v>
      </c>
      <c r="O7" s="19"/>
      <c r="P7" s="20"/>
      <c r="Q7" s="18" t="s">
        <v>111</v>
      </c>
      <c r="R7" s="19"/>
      <c r="S7" s="19"/>
      <c r="T7" s="19"/>
      <c r="U7" s="20"/>
      <c r="V7" s="19" t="s">
        <v>80</v>
      </c>
      <c r="W7" s="19"/>
      <c r="X7" s="19"/>
      <c r="Y7" s="19"/>
      <c r="Z7" s="19"/>
      <c r="AA7" s="19"/>
      <c r="AB7" s="18" t="s">
        <v>81</v>
      </c>
      <c r="AC7" s="19"/>
      <c r="AD7" s="19"/>
      <c r="AE7" s="19"/>
      <c r="AF7" s="19"/>
      <c r="AG7" s="19"/>
      <c r="AH7" s="19"/>
      <c r="AI7" s="19"/>
      <c r="AJ7" s="18" t="s">
        <v>54</v>
      </c>
      <c r="AK7" s="20"/>
      <c r="AL7" s="19" t="s">
        <v>106</v>
      </c>
      <c r="AM7" s="19"/>
      <c r="AN7" s="19"/>
      <c r="AO7" s="19"/>
      <c r="AP7" s="20"/>
    </row>
    <row r="8" spans="1:42">
      <c r="A8" s="18" t="s">
        <v>46</v>
      </c>
      <c r="B8" s="41"/>
      <c r="C8" s="19"/>
      <c r="D8" s="18" t="s">
        <v>69</v>
      </c>
      <c r="E8" s="19"/>
      <c r="F8" s="19"/>
      <c r="G8" s="20"/>
      <c r="H8" s="30" t="s">
        <v>49</v>
      </c>
      <c r="I8" s="19"/>
      <c r="J8" s="18" t="s">
        <v>52</v>
      </c>
      <c r="K8" s="19"/>
      <c r="L8" s="28" t="s">
        <v>320</v>
      </c>
      <c r="M8" s="29"/>
      <c r="N8" s="64" t="s">
        <v>323</v>
      </c>
      <c r="O8" s="19"/>
      <c r="P8" s="20"/>
      <c r="Q8" s="18" t="s">
        <v>112</v>
      </c>
      <c r="R8" s="19"/>
      <c r="S8" s="19"/>
      <c r="T8" s="19"/>
      <c r="U8" s="20"/>
      <c r="V8" s="19" t="s">
        <v>82</v>
      </c>
      <c r="W8" s="19"/>
      <c r="X8" s="19"/>
      <c r="Y8" s="19"/>
      <c r="Z8" s="19"/>
      <c r="AA8" s="19"/>
      <c r="AB8" s="18" t="s">
        <v>83</v>
      </c>
      <c r="AC8" s="19"/>
      <c r="AD8" s="19"/>
      <c r="AE8" s="19"/>
      <c r="AF8" s="19"/>
      <c r="AG8" s="19"/>
      <c r="AH8" s="19"/>
      <c r="AI8" s="19"/>
      <c r="AJ8" s="18" t="s">
        <v>53</v>
      </c>
      <c r="AK8" s="20"/>
      <c r="AL8" s="19" t="s">
        <v>104</v>
      </c>
      <c r="AM8" s="19"/>
      <c r="AN8" s="19"/>
      <c r="AO8" s="19"/>
      <c r="AP8" s="20"/>
    </row>
    <row r="9" spans="1:42">
      <c r="A9" s="18" t="s">
        <v>47</v>
      </c>
      <c r="B9" s="41"/>
      <c r="C9" s="19"/>
      <c r="D9" s="18" t="s">
        <v>69</v>
      </c>
      <c r="E9" s="19"/>
      <c r="F9" s="19"/>
      <c r="G9" s="20"/>
      <c r="H9" s="30" t="s">
        <v>49</v>
      </c>
      <c r="I9" s="19"/>
      <c r="J9" s="18" t="s">
        <v>52</v>
      </c>
      <c r="K9" s="19"/>
      <c r="L9" s="28" t="s">
        <v>321</v>
      </c>
      <c r="M9" s="29"/>
      <c r="N9" s="64" t="s">
        <v>323</v>
      </c>
      <c r="O9" s="19"/>
      <c r="P9" s="20"/>
      <c r="Q9" s="18" t="s">
        <v>113</v>
      </c>
      <c r="R9" s="19"/>
      <c r="S9" s="19"/>
      <c r="T9" s="19"/>
      <c r="U9" s="20"/>
      <c r="V9" s="19" t="s">
        <v>84</v>
      </c>
      <c r="W9" s="19"/>
      <c r="X9" s="19"/>
      <c r="Y9" s="19"/>
      <c r="Z9" s="19"/>
      <c r="AA9" s="19"/>
      <c r="AB9" s="18" t="s">
        <v>85</v>
      </c>
      <c r="AC9" s="19"/>
      <c r="AD9" s="19"/>
      <c r="AE9" s="19"/>
      <c r="AF9" s="19"/>
      <c r="AG9" s="19"/>
      <c r="AH9" s="19"/>
      <c r="AI9" s="19"/>
      <c r="AJ9" s="18" t="s">
        <v>53</v>
      </c>
      <c r="AK9" s="20"/>
      <c r="AL9" s="19" t="s">
        <v>104</v>
      </c>
      <c r="AM9" s="19"/>
      <c r="AN9" s="19"/>
      <c r="AO9" s="19"/>
      <c r="AP9" s="20"/>
    </row>
    <row r="10" spans="1:42">
      <c r="A10" s="18" t="s">
        <v>48</v>
      </c>
      <c r="B10" s="41"/>
      <c r="C10" s="19"/>
      <c r="D10" s="18" t="s">
        <v>69</v>
      </c>
      <c r="E10" s="19"/>
      <c r="F10" s="19"/>
      <c r="G10" s="20"/>
      <c r="H10" s="30" t="s">
        <v>49</v>
      </c>
      <c r="I10" s="19"/>
      <c r="J10" s="18" t="s">
        <v>52</v>
      </c>
      <c r="K10" s="19"/>
      <c r="L10" s="28" t="s">
        <v>321</v>
      </c>
      <c r="M10" s="29"/>
      <c r="N10" s="64" t="s">
        <v>323</v>
      </c>
      <c r="O10" s="19"/>
      <c r="P10" s="20"/>
      <c r="Q10" s="18" t="s">
        <v>114</v>
      </c>
      <c r="R10" s="19"/>
      <c r="S10" s="19"/>
      <c r="T10" s="19"/>
      <c r="U10" s="20"/>
      <c r="V10" s="19" t="s">
        <v>86</v>
      </c>
      <c r="W10" s="19"/>
      <c r="X10" s="19"/>
      <c r="Y10" s="19"/>
      <c r="Z10" s="19"/>
      <c r="AA10" s="19"/>
      <c r="AB10" s="18" t="s">
        <v>87</v>
      </c>
      <c r="AC10" s="19"/>
      <c r="AD10" s="19"/>
      <c r="AE10" s="19"/>
      <c r="AF10" s="19"/>
      <c r="AG10" s="19"/>
      <c r="AH10" s="19"/>
      <c r="AI10" s="19"/>
      <c r="AJ10" s="18" t="s">
        <v>53</v>
      </c>
      <c r="AK10" s="20"/>
      <c r="AL10" s="19" t="s">
        <v>107</v>
      </c>
      <c r="AM10" s="19"/>
      <c r="AN10" s="19"/>
      <c r="AO10" s="19"/>
      <c r="AP10" s="20"/>
    </row>
    <row r="11" spans="1:42">
      <c r="A11" s="18" t="s">
        <v>124</v>
      </c>
      <c r="B11" s="41"/>
      <c r="C11" s="19"/>
      <c r="D11" s="18" t="s">
        <v>69</v>
      </c>
      <c r="E11" s="19"/>
      <c r="F11" s="19"/>
      <c r="G11" s="20"/>
      <c r="H11" s="30" t="s">
        <v>49</v>
      </c>
      <c r="I11" s="19"/>
      <c r="J11" s="18" t="s">
        <v>52</v>
      </c>
      <c r="K11" s="19"/>
      <c r="L11" s="28" t="s">
        <v>321</v>
      </c>
      <c r="M11" s="29"/>
      <c r="N11" s="64" t="s">
        <v>323</v>
      </c>
      <c r="O11" s="19"/>
      <c r="P11" s="20"/>
      <c r="Q11" s="18" t="s">
        <v>115</v>
      </c>
      <c r="R11" s="19"/>
      <c r="S11" s="19"/>
      <c r="T11" s="19"/>
      <c r="U11" s="20"/>
      <c r="V11" s="19" t="s">
        <v>88</v>
      </c>
      <c r="W11" s="19"/>
      <c r="X11" s="19"/>
      <c r="Y11" s="19"/>
      <c r="Z11" s="19"/>
      <c r="AA11" s="19"/>
      <c r="AB11" s="18" t="s">
        <v>89</v>
      </c>
      <c r="AC11" s="19"/>
      <c r="AD11" s="19"/>
      <c r="AE11" s="19"/>
      <c r="AF11" s="19"/>
      <c r="AG11" s="19"/>
      <c r="AH11" s="19"/>
      <c r="AI11" s="19"/>
      <c r="AJ11" s="18" t="s">
        <v>53</v>
      </c>
      <c r="AK11" s="20"/>
      <c r="AL11" s="19" t="s">
        <v>109</v>
      </c>
      <c r="AM11" s="19"/>
      <c r="AN11" s="19"/>
      <c r="AO11" s="19"/>
      <c r="AP11" s="20"/>
    </row>
    <row r="12" spans="1:42">
      <c r="A12" s="18" t="s">
        <v>125</v>
      </c>
      <c r="B12" s="41"/>
      <c r="C12" s="19"/>
      <c r="D12" s="18" t="s">
        <v>69</v>
      </c>
      <c r="E12" s="19"/>
      <c r="F12" s="19"/>
      <c r="G12" s="20"/>
      <c r="H12" s="30" t="s">
        <v>49</v>
      </c>
      <c r="I12" s="19"/>
      <c r="J12" s="18" t="s">
        <v>24</v>
      </c>
      <c r="K12" s="19"/>
      <c r="L12" s="28" t="s">
        <v>320</v>
      </c>
      <c r="M12" s="29"/>
      <c r="N12" s="64" t="s">
        <v>323</v>
      </c>
      <c r="O12" s="19"/>
      <c r="P12" s="20"/>
      <c r="Q12" s="18" t="s">
        <v>116</v>
      </c>
      <c r="R12" s="19"/>
      <c r="S12" s="19"/>
      <c r="T12" s="19"/>
      <c r="U12" s="20"/>
      <c r="V12" s="19" t="s">
        <v>90</v>
      </c>
      <c r="W12" s="19"/>
      <c r="X12" s="19"/>
      <c r="Y12" s="19"/>
      <c r="Z12" s="19"/>
      <c r="AA12" s="19"/>
      <c r="AB12" s="18" t="s">
        <v>91</v>
      </c>
      <c r="AC12" s="19"/>
      <c r="AD12" s="19"/>
      <c r="AE12" s="19"/>
      <c r="AF12" s="19"/>
      <c r="AG12" s="19"/>
      <c r="AH12" s="19"/>
      <c r="AI12" s="19"/>
      <c r="AJ12" s="18" t="s">
        <v>53</v>
      </c>
      <c r="AK12" s="20"/>
      <c r="AL12" s="19" t="s">
        <v>108</v>
      </c>
      <c r="AM12" s="19"/>
      <c r="AN12" s="19"/>
      <c r="AO12" s="19"/>
      <c r="AP12" s="20"/>
    </row>
    <row r="13" spans="1:42">
      <c r="A13" s="18" t="s">
        <v>126</v>
      </c>
      <c r="B13" s="41"/>
      <c r="C13" s="19"/>
      <c r="D13" s="18" t="s">
        <v>69</v>
      </c>
      <c r="E13" s="19"/>
      <c r="F13" s="19"/>
      <c r="G13" s="20"/>
      <c r="H13" s="30" t="s">
        <v>49</v>
      </c>
      <c r="I13" s="19"/>
      <c r="J13" s="18" t="s">
        <v>24</v>
      </c>
      <c r="K13" s="19"/>
      <c r="L13" s="28" t="s">
        <v>320</v>
      </c>
      <c r="M13" s="29"/>
      <c r="N13" s="64" t="s">
        <v>323</v>
      </c>
      <c r="O13" s="19"/>
      <c r="P13" s="20"/>
      <c r="Q13" s="18" t="s">
        <v>117</v>
      </c>
      <c r="R13" s="19"/>
      <c r="S13" s="19"/>
      <c r="T13" s="19"/>
      <c r="U13" s="20"/>
      <c r="V13" s="19" t="s">
        <v>92</v>
      </c>
      <c r="W13" s="19"/>
      <c r="X13" s="19"/>
      <c r="Y13" s="19"/>
      <c r="Z13" s="19"/>
      <c r="AA13" s="19"/>
      <c r="AB13" s="18" t="s">
        <v>93</v>
      </c>
      <c r="AC13" s="19"/>
      <c r="AD13" s="19"/>
      <c r="AE13" s="19"/>
      <c r="AF13" s="19"/>
      <c r="AG13" s="19"/>
      <c r="AH13" s="19"/>
      <c r="AI13" s="19"/>
      <c r="AJ13" s="18" t="s">
        <v>53</v>
      </c>
      <c r="AK13" s="20"/>
      <c r="AL13" s="19" t="s">
        <v>108</v>
      </c>
      <c r="AM13" s="19"/>
      <c r="AN13" s="19"/>
      <c r="AO13" s="19"/>
      <c r="AP13" s="20"/>
    </row>
    <row r="14" spans="1:42">
      <c r="A14" s="18" t="s">
        <v>127</v>
      </c>
      <c r="B14" s="41"/>
      <c r="C14" s="19"/>
      <c r="D14" s="18" t="s">
        <v>69</v>
      </c>
      <c r="E14" s="19"/>
      <c r="F14" s="19"/>
      <c r="G14" s="20"/>
      <c r="H14" s="30" t="s">
        <v>49</v>
      </c>
      <c r="I14" s="19"/>
      <c r="J14" s="18" t="s">
        <v>24</v>
      </c>
      <c r="K14" s="19"/>
      <c r="L14" s="28" t="s">
        <v>320</v>
      </c>
      <c r="M14" s="29"/>
      <c r="N14" s="64" t="s">
        <v>323</v>
      </c>
      <c r="O14" s="19"/>
      <c r="P14" s="20"/>
      <c r="Q14" s="18" t="s">
        <v>118</v>
      </c>
      <c r="R14" s="19"/>
      <c r="S14" s="19"/>
      <c r="T14" s="19"/>
      <c r="U14" s="20"/>
      <c r="V14" s="19" t="s">
        <v>94</v>
      </c>
      <c r="W14" s="19"/>
      <c r="X14" s="19"/>
      <c r="Y14" s="19"/>
      <c r="Z14" s="19"/>
      <c r="AA14" s="19"/>
      <c r="AB14" s="18" t="s">
        <v>95</v>
      </c>
      <c r="AC14" s="19"/>
      <c r="AD14" s="19"/>
      <c r="AE14" s="19"/>
      <c r="AF14" s="19"/>
      <c r="AG14" s="19"/>
      <c r="AH14" s="19"/>
      <c r="AI14" s="19"/>
      <c r="AJ14" s="18" t="s">
        <v>53</v>
      </c>
      <c r="AK14" s="20"/>
      <c r="AL14" s="19" t="s">
        <v>108</v>
      </c>
      <c r="AM14" s="19"/>
      <c r="AN14" s="19"/>
      <c r="AO14" s="19"/>
      <c r="AP14" s="20"/>
    </row>
    <row r="15" spans="1:42">
      <c r="A15" s="18" t="s">
        <v>128</v>
      </c>
      <c r="B15" s="41"/>
      <c r="C15" s="19"/>
      <c r="D15" s="18" t="s">
        <v>69</v>
      </c>
      <c r="E15" s="19"/>
      <c r="F15" s="19"/>
      <c r="G15" s="20"/>
      <c r="H15" s="30" t="s">
        <v>49</v>
      </c>
      <c r="I15" s="19"/>
      <c r="J15" s="18" t="s">
        <v>24</v>
      </c>
      <c r="K15" s="19"/>
      <c r="L15" s="28" t="s">
        <v>320</v>
      </c>
      <c r="M15" s="29"/>
      <c r="N15" s="64" t="s">
        <v>323</v>
      </c>
      <c r="O15" s="19"/>
      <c r="P15" s="20"/>
      <c r="Q15" s="18" t="s">
        <v>119</v>
      </c>
      <c r="R15" s="19"/>
      <c r="S15" s="19"/>
      <c r="T15" s="19"/>
      <c r="U15" s="20"/>
      <c r="V15" s="19" t="s">
        <v>96</v>
      </c>
      <c r="W15" s="19"/>
      <c r="X15" s="19"/>
      <c r="Y15" s="19"/>
      <c r="Z15" s="19"/>
      <c r="AA15" s="19"/>
      <c r="AB15" s="18" t="s">
        <v>97</v>
      </c>
      <c r="AC15" s="19"/>
      <c r="AD15" s="19"/>
      <c r="AE15" s="19"/>
      <c r="AF15" s="19"/>
      <c r="AG15" s="19"/>
      <c r="AH15" s="19"/>
      <c r="AI15" s="19"/>
      <c r="AJ15" s="18" t="s">
        <v>53</v>
      </c>
      <c r="AK15" s="20"/>
      <c r="AL15" s="19" t="s">
        <v>104</v>
      </c>
      <c r="AM15" s="19"/>
      <c r="AN15" s="19"/>
      <c r="AO15" s="19"/>
      <c r="AP15" s="20"/>
    </row>
    <row r="16" spans="1:42">
      <c r="A16" s="18" t="s">
        <v>129</v>
      </c>
      <c r="B16" s="41"/>
      <c r="C16" s="19"/>
      <c r="D16" s="18" t="s">
        <v>69</v>
      </c>
      <c r="E16" s="19"/>
      <c r="F16" s="19"/>
      <c r="G16" s="20"/>
      <c r="H16" s="30" t="s">
        <v>49</v>
      </c>
      <c r="I16" s="19"/>
      <c r="J16" s="18" t="s">
        <v>24</v>
      </c>
      <c r="K16" s="19"/>
      <c r="L16" s="28" t="s">
        <v>320</v>
      </c>
      <c r="M16" s="29"/>
      <c r="N16" s="64" t="s">
        <v>323</v>
      </c>
      <c r="O16" s="19"/>
      <c r="P16" s="20"/>
      <c r="Q16" s="18" t="s">
        <v>120</v>
      </c>
      <c r="R16" s="19"/>
      <c r="S16" s="19"/>
      <c r="T16" s="19"/>
      <c r="U16" s="20"/>
      <c r="V16" s="19" t="s">
        <v>98</v>
      </c>
      <c r="W16" s="19"/>
      <c r="X16" s="19"/>
      <c r="Y16" s="19"/>
      <c r="Z16" s="19"/>
      <c r="AA16" s="19"/>
      <c r="AB16" s="18" t="s">
        <v>99</v>
      </c>
      <c r="AC16" s="19"/>
      <c r="AD16" s="19"/>
      <c r="AE16" s="19"/>
      <c r="AF16" s="19"/>
      <c r="AG16" s="19"/>
      <c r="AH16" s="19"/>
      <c r="AI16" s="19"/>
      <c r="AJ16" s="18" t="s">
        <v>53</v>
      </c>
      <c r="AK16" s="20"/>
      <c r="AL16" s="19" t="s">
        <v>104</v>
      </c>
      <c r="AM16" s="19"/>
      <c r="AN16" s="19"/>
      <c r="AO16" s="19"/>
      <c r="AP16" s="20"/>
    </row>
    <row r="17" spans="1:42">
      <c r="A17" s="18" t="s">
        <v>130</v>
      </c>
      <c r="B17" s="42"/>
      <c r="C17" s="19"/>
      <c r="D17" s="18" t="s">
        <v>69</v>
      </c>
      <c r="E17" s="19"/>
      <c r="F17" s="19"/>
      <c r="G17" s="20"/>
      <c r="H17" s="30" t="s">
        <v>49</v>
      </c>
      <c r="I17" s="19"/>
      <c r="J17" s="18" t="s">
        <v>24</v>
      </c>
      <c r="K17" s="19"/>
      <c r="L17" s="28" t="s">
        <v>322</v>
      </c>
      <c r="M17" s="29"/>
      <c r="N17" s="65" t="s">
        <v>324</v>
      </c>
      <c r="O17" s="19"/>
      <c r="P17" s="20"/>
      <c r="Q17" s="18" t="s">
        <v>121</v>
      </c>
      <c r="R17" s="19"/>
      <c r="S17" s="19"/>
      <c r="T17" s="19"/>
      <c r="U17" s="20"/>
      <c r="V17" s="19" t="s">
        <v>100</v>
      </c>
      <c r="W17" s="19"/>
      <c r="X17" s="19"/>
      <c r="Y17" s="19"/>
      <c r="Z17" s="19"/>
      <c r="AA17" s="19"/>
      <c r="AB17" s="18" t="s">
        <v>101</v>
      </c>
      <c r="AC17" s="19"/>
      <c r="AD17" s="19"/>
      <c r="AE17" s="19"/>
      <c r="AF17" s="19"/>
      <c r="AG17" s="19"/>
      <c r="AH17" s="19"/>
      <c r="AI17" s="19"/>
      <c r="AJ17" s="18" t="s">
        <v>53</v>
      </c>
      <c r="AK17" s="20"/>
      <c r="AL17" s="19" t="s">
        <v>104</v>
      </c>
      <c r="AM17" s="19"/>
      <c r="AN17" s="19"/>
      <c r="AO17" s="19"/>
      <c r="AP17" s="20"/>
    </row>
    <row r="18" spans="1:42">
      <c r="A18" s="18" t="s">
        <v>131</v>
      </c>
      <c r="B18" s="19"/>
      <c r="C18" s="19"/>
      <c r="D18" s="18" t="s">
        <v>69</v>
      </c>
      <c r="E18" s="19"/>
      <c r="F18" s="19"/>
      <c r="G18" s="20"/>
      <c r="H18" s="30" t="s">
        <v>49</v>
      </c>
      <c r="I18" s="19"/>
      <c r="J18" s="18" t="s">
        <v>24</v>
      </c>
      <c r="K18" s="19"/>
      <c r="L18" s="28" t="s">
        <v>322</v>
      </c>
      <c r="M18" s="29"/>
      <c r="N18" s="65" t="s">
        <v>324</v>
      </c>
      <c r="O18" s="19"/>
      <c r="P18" s="20"/>
      <c r="Q18" s="18" t="s">
        <v>122</v>
      </c>
      <c r="R18" s="19"/>
      <c r="S18" s="19"/>
      <c r="T18" s="19"/>
      <c r="U18" s="20"/>
      <c r="V18" s="19" t="s">
        <v>102</v>
      </c>
      <c r="W18" s="19"/>
      <c r="X18" s="19"/>
      <c r="Y18" s="19"/>
      <c r="Z18" s="19"/>
      <c r="AA18" s="19"/>
      <c r="AB18" s="18" t="s">
        <v>103</v>
      </c>
      <c r="AC18" s="19"/>
      <c r="AD18" s="19"/>
      <c r="AE18" s="19"/>
      <c r="AF18" s="19"/>
      <c r="AG18" s="19"/>
      <c r="AH18" s="19"/>
      <c r="AI18" s="19"/>
      <c r="AJ18" s="18" t="s">
        <v>53</v>
      </c>
      <c r="AK18" s="20"/>
      <c r="AL18" s="19" t="s">
        <v>104</v>
      </c>
      <c r="AM18" s="19"/>
      <c r="AN18" s="19"/>
      <c r="AO18" s="19"/>
      <c r="AP18" s="20"/>
    </row>
    <row r="19" spans="1:42">
      <c r="A19" s="18" t="s">
        <v>182</v>
      </c>
      <c r="B19" s="19"/>
      <c r="C19" s="19"/>
      <c r="D19" s="18" t="s">
        <v>70</v>
      </c>
      <c r="E19" s="19"/>
      <c r="F19" s="19"/>
      <c r="G19" s="20"/>
      <c r="H19" s="18" t="s">
        <v>50</v>
      </c>
      <c r="I19" s="19"/>
      <c r="J19" s="18" t="s">
        <v>181</v>
      </c>
      <c r="K19" s="19"/>
      <c r="L19" s="28" t="s">
        <v>320</v>
      </c>
      <c r="M19" s="29"/>
      <c r="N19" s="64" t="s">
        <v>323</v>
      </c>
      <c r="O19" s="19"/>
      <c r="P19" s="20"/>
      <c r="Q19" s="18" t="s">
        <v>165</v>
      </c>
      <c r="R19" s="19"/>
      <c r="S19" s="19"/>
      <c r="T19" s="19"/>
      <c r="U19" s="20"/>
      <c r="V19" s="19" t="s">
        <v>132</v>
      </c>
      <c r="W19" s="19"/>
      <c r="X19" s="19"/>
      <c r="Y19" s="19"/>
      <c r="Z19" s="19"/>
      <c r="AA19" s="19"/>
      <c r="AB19" s="18" t="s">
        <v>133</v>
      </c>
      <c r="AC19" s="19"/>
      <c r="AD19" s="19"/>
      <c r="AE19" s="19"/>
      <c r="AF19" s="19"/>
      <c r="AG19" s="19"/>
      <c r="AH19" s="19"/>
      <c r="AI19" s="19"/>
      <c r="AJ19" s="18" t="s">
        <v>164</v>
      </c>
      <c r="AK19" s="20"/>
      <c r="AL19" s="19" t="s">
        <v>134</v>
      </c>
      <c r="AM19" s="19"/>
      <c r="AN19" s="19"/>
      <c r="AO19" s="19"/>
      <c r="AP19" s="20"/>
    </row>
    <row r="20" spans="1:42">
      <c r="A20" s="18" t="s">
        <v>183</v>
      </c>
      <c r="B20" s="48"/>
      <c r="C20" s="48"/>
      <c r="D20" s="18" t="s">
        <v>70</v>
      </c>
      <c r="E20" s="48"/>
      <c r="F20" s="48"/>
      <c r="G20" s="49"/>
      <c r="H20" s="18" t="s">
        <v>50</v>
      </c>
      <c r="I20" s="48"/>
      <c r="J20" s="47" t="s">
        <v>181</v>
      </c>
      <c r="K20" s="48"/>
      <c r="L20" s="28" t="s">
        <v>321</v>
      </c>
      <c r="M20" s="29"/>
      <c r="N20" s="64" t="s">
        <v>323</v>
      </c>
      <c r="O20" s="48"/>
      <c r="P20" s="49"/>
      <c r="Q20" s="47" t="s">
        <v>166</v>
      </c>
      <c r="R20" s="48"/>
      <c r="S20" s="48"/>
      <c r="T20" s="48"/>
      <c r="U20" s="49"/>
      <c r="V20" s="48" t="s">
        <v>135</v>
      </c>
      <c r="W20" s="48"/>
      <c r="X20" s="48"/>
      <c r="Y20" s="48"/>
      <c r="Z20" s="48"/>
      <c r="AA20" s="48"/>
      <c r="AB20" s="47" t="s">
        <v>136</v>
      </c>
      <c r="AC20" s="48"/>
      <c r="AD20" s="48"/>
      <c r="AE20" s="48"/>
      <c r="AF20" s="48"/>
      <c r="AG20" s="48"/>
      <c r="AH20" s="48"/>
      <c r="AI20" s="48"/>
      <c r="AJ20" s="47" t="s">
        <v>164</v>
      </c>
      <c r="AK20" s="49"/>
      <c r="AL20" s="48" t="s">
        <v>134</v>
      </c>
      <c r="AM20" s="48"/>
      <c r="AN20" s="48"/>
      <c r="AO20" s="48"/>
      <c r="AP20" s="49"/>
    </row>
    <row r="21" spans="1:42">
      <c r="A21" s="18" t="s">
        <v>184</v>
      </c>
      <c r="B21" s="48"/>
      <c r="C21" s="48"/>
      <c r="D21" s="18" t="s">
        <v>70</v>
      </c>
      <c r="E21" s="48"/>
      <c r="F21" s="48"/>
      <c r="G21" s="49"/>
      <c r="H21" s="18" t="s">
        <v>50</v>
      </c>
      <c r="I21" s="48"/>
      <c r="J21" s="47" t="s">
        <v>181</v>
      </c>
      <c r="K21" s="48"/>
      <c r="L21" s="28" t="s">
        <v>320</v>
      </c>
      <c r="M21" s="29"/>
      <c r="N21" s="64" t="s">
        <v>323</v>
      </c>
      <c r="O21" s="48"/>
      <c r="P21" s="49"/>
      <c r="Q21" s="47" t="s">
        <v>167</v>
      </c>
      <c r="R21" s="48"/>
      <c r="S21" s="48"/>
      <c r="T21" s="48"/>
      <c r="U21" s="49"/>
      <c r="V21" s="48" t="s">
        <v>137</v>
      </c>
      <c r="W21" s="48"/>
      <c r="X21" s="48"/>
      <c r="Y21" s="48"/>
      <c r="Z21" s="48"/>
      <c r="AA21" s="48"/>
      <c r="AB21" s="47" t="s">
        <v>138</v>
      </c>
      <c r="AC21" s="48"/>
      <c r="AD21" s="48"/>
      <c r="AE21" s="48"/>
      <c r="AF21" s="48"/>
      <c r="AG21" s="48"/>
      <c r="AH21" s="48"/>
      <c r="AI21" s="48"/>
      <c r="AJ21" s="47" t="s">
        <v>164</v>
      </c>
      <c r="AK21" s="49"/>
      <c r="AL21" s="48" t="s">
        <v>134</v>
      </c>
      <c r="AM21" s="48"/>
      <c r="AN21" s="48"/>
      <c r="AO21" s="48"/>
      <c r="AP21" s="49"/>
    </row>
    <row r="22" spans="1:42">
      <c r="A22" s="18" t="s">
        <v>185</v>
      </c>
      <c r="B22" s="48"/>
      <c r="C22" s="48"/>
      <c r="D22" s="18" t="s">
        <v>70</v>
      </c>
      <c r="E22" s="48"/>
      <c r="F22" s="48"/>
      <c r="G22" s="49"/>
      <c r="H22" s="18" t="s">
        <v>50</v>
      </c>
      <c r="I22" s="48"/>
      <c r="J22" s="47" t="s">
        <v>181</v>
      </c>
      <c r="K22" s="48"/>
      <c r="L22" s="28" t="s">
        <v>321</v>
      </c>
      <c r="M22" s="29"/>
      <c r="N22" s="64" t="s">
        <v>323</v>
      </c>
      <c r="O22" s="48"/>
      <c r="P22" s="49"/>
      <c r="Q22" s="47" t="s">
        <v>168</v>
      </c>
      <c r="R22" s="48"/>
      <c r="S22" s="48"/>
      <c r="T22" s="48"/>
      <c r="U22" s="49"/>
      <c r="V22" s="48" t="s">
        <v>139</v>
      </c>
      <c r="W22" s="48"/>
      <c r="X22" s="48"/>
      <c r="Y22" s="48"/>
      <c r="Z22" s="48"/>
      <c r="AA22" s="48"/>
      <c r="AB22" s="47" t="s">
        <v>140</v>
      </c>
      <c r="AC22" s="48"/>
      <c r="AD22" s="48"/>
      <c r="AE22" s="48"/>
      <c r="AF22" s="48"/>
      <c r="AG22" s="48"/>
      <c r="AH22" s="48"/>
      <c r="AI22" s="48"/>
      <c r="AJ22" s="47" t="s">
        <v>164</v>
      </c>
      <c r="AK22" s="49"/>
      <c r="AL22" s="48" t="s">
        <v>134</v>
      </c>
      <c r="AM22" s="48"/>
      <c r="AN22" s="48"/>
      <c r="AO22" s="48"/>
      <c r="AP22" s="49"/>
    </row>
    <row r="23" spans="1:42">
      <c r="A23" s="18" t="s">
        <v>186</v>
      </c>
      <c r="B23" s="48"/>
      <c r="C23" s="48"/>
      <c r="D23" s="18" t="s">
        <v>70</v>
      </c>
      <c r="E23" s="48"/>
      <c r="F23" s="48"/>
      <c r="G23" s="49"/>
      <c r="H23" s="18" t="s">
        <v>50</v>
      </c>
      <c r="I23" s="48"/>
      <c r="J23" s="47" t="s">
        <v>123</v>
      </c>
      <c r="K23" s="48"/>
      <c r="L23" s="28" t="s">
        <v>320</v>
      </c>
      <c r="M23" s="29"/>
      <c r="N23" s="64" t="s">
        <v>323</v>
      </c>
      <c r="O23" s="48"/>
      <c r="P23" s="49"/>
      <c r="Q23" s="47" t="s">
        <v>169</v>
      </c>
      <c r="R23" s="48"/>
      <c r="S23" s="48"/>
      <c r="T23" s="48"/>
      <c r="U23" s="49"/>
      <c r="V23" s="48" t="s">
        <v>141</v>
      </c>
      <c r="W23" s="48"/>
      <c r="X23" s="48"/>
      <c r="Y23" s="48"/>
      <c r="Z23" s="48"/>
      <c r="AA23" s="48"/>
      <c r="AB23" s="47" t="s">
        <v>142</v>
      </c>
      <c r="AC23" s="48"/>
      <c r="AD23" s="48"/>
      <c r="AE23" s="48"/>
      <c r="AF23" s="48"/>
      <c r="AG23" s="48"/>
      <c r="AH23" s="48"/>
      <c r="AI23" s="48"/>
      <c r="AJ23" s="47" t="s">
        <v>164</v>
      </c>
      <c r="AK23" s="49"/>
      <c r="AL23" s="48" t="s">
        <v>134</v>
      </c>
      <c r="AM23" s="48"/>
      <c r="AN23" s="48"/>
      <c r="AO23" s="48"/>
      <c r="AP23" s="49"/>
    </row>
    <row r="24" spans="1:42">
      <c r="A24" s="18" t="s">
        <v>187</v>
      </c>
      <c r="B24" s="48"/>
      <c r="C24" s="48"/>
      <c r="D24" s="18" t="s">
        <v>70</v>
      </c>
      <c r="E24" s="48"/>
      <c r="F24" s="48"/>
      <c r="G24" s="49"/>
      <c r="H24" s="18" t="s">
        <v>50</v>
      </c>
      <c r="I24" s="48"/>
      <c r="J24" s="47" t="s">
        <v>123</v>
      </c>
      <c r="K24" s="48"/>
      <c r="L24" s="28" t="s">
        <v>320</v>
      </c>
      <c r="M24" s="29"/>
      <c r="N24" s="64" t="s">
        <v>323</v>
      </c>
      <c r="O24" s="48"/>
      <c r="P24" s="49"/>
      <c r="Q24" s="47" t="s">
        <v>170</v>
      </c>
      <c r="R24" s="48"/>
      <c r="S24" s="48"/>
      <c r="T24" s="48"/>
      <c r="U24" s="49"/>
      <c r="V24" s="48" t="s">
        <v>143</v>
      </c>
      <c r="W24" s="48"/>
      <c r="X24" s="48"/>
      <c r="Y24" s="48"/>
      <c r="Z24" s="48"/>
      <c r="AA24" s="48"/>
      <c r="AB24" s="47" t="s">
        <v>144</v>
      </c>
      <c r="AC24" s="48"/>
      <c r="AD24" s="48"/>
      <c r="AE24" s="48"/>
      <c r="AF24" s="48"/>
      <c r="AG24" s="48"/>
      <c r="AH24" s="48"/>
      <c r="AI24" s="48"/>
      <c r="AJ24" s="47" t="s">
        <v>164</v>
      </c>
      <c r="AK24" s="49"/>
      <c r="AL24" s="48" t="s">
        <v>134</v>
      </c>
      <c r="AM24" s="48"/>
      <c r="AN24" s="48"/>
      <c r="AO24" s="48"/>
      <c r="AP24" s="49"/>
    </row>
    <row r="25" spans="1:42">
      <c r="A25" s="18" t="s">
        <v>188</v>
      </c>
      <c r="B25" s="48"/>
      <c r="C25" s="48"/>
      <c r="D25" s="18" t="s">
        <v>70</v>
      </c>
      <c r="E25" s="48"/>
      <c r="F25" s="48"/>
      <c r="G25" s="49"/>
      <c r="H25" s="18" t="s">
        <v>50</v>
      </c>
      <c r="I25" s="48"/>
      <c r="J25" s="47" t="s">
        <v>181</v>
      </c>
      <c r="K25" s="48"/>
      <c r="L25" s="28" t="s">
        <v>320</v>
      </c>
      <c r="M25" s="29"/>
      <c r="N25" s="64" t="s">
        <v>323</v>
      </c>
      <c r="O25" s="48"/>
      <c r="P25" s="49"/>
      <c r="Q25" s="47" t="s">
        <v>171</v>
      </c>
      <c r="R25" s="48"/>
      <c r="S25" s="48"/>
      <c r="T25" s="48"/>
      <c r="U25" s="49"/>
      <c r="V25" s="48" t="s">
        <v>145</v>
      </c>
      <c r="W25" s="48"/>
      <c r="X25" s="48"/>
      <c r="Y25" s="48"/>
      <c r="Z25" s="48"/>
      <c r="AA25" s="48"/>
      <c r="AB25" s="47" t="s">
        <v>146</v>
      </c>
      <c r="AC25" s="48"/>
      <c r="AD25" s="48"/>
      <c r="AE25" s="48"/>
      <c r="AF25" s="48"/>
      <c r="AG25" s="48"/>
      <c r="AH25" s="48"/>
      <c r="AI25" s="48"/>
      <c r="AJ25" s="47" t="s">
        <v>164</v>
      </c>
      <c r="AK25" s="49"/>
      <c r="AL25" s="48" t="s">
        <v>147</v>
      </c>
      <c r="AM25" s="48"/>
      <c r="AN25" s="48"/>
      <c r="AO25" s="48"/>
      <c r="AP25" s="49"/>
    </row>
    <row r="26" spans="1:42">
      <c r="A26" s="18" t="s">
        <v>189</v>
      </c>
      <c r="B26" s="48"/>
      <c r="C26" s="48"/>
      <c r="D26" s="18" t="s">
        <v>70</v>
      </c>
      <c r="E26" s="48"/>
      <c r="F26" s="48"/>
      <c r="G26" s="49"/>
      <c r="H26" s="18" t="s">
        <v>50</v>
      </c>
      <c r="I26" s="48"/>
      <c r="J26" s="47" t="s">
        <v>181</v>
      </c>
      <c r="K26" s="48"/>
      <c r="L26" s="28" t="s">
        <v>321</v>
      </c>
      <c r="M26" s="29"/>
      <c r="N26" s="64" t="s">
        <v>323</v>
      </c>
      <c r="O26" s="48"/>
      <c r="P26" s="49"/>
      <c r="Q26" s="47" t="s">
        <v>172</v>
      </c>
      <c r="R26" s="48"/>
      <c r="S26" s="48"/>
      <c r="T26" s="48"/>
      <c r="U26" s="49"/>
      <c r="V26" s="48" t="s">
        <v>148</v>
      </c>
      <c r="W26" s="48"/>
      <c r="X26" s="48"/>
      <c r="Y26" s="48"/>
      <c r="Z26" s="48"/>
      <c r="AA26" s="48"/>
      <c r="AB26" s="47" t="s">
        <v>149</v>
      </c>
      <c r="AC26" s="48"/>
      <c r="AD26" s="48"/>
      <c r="AE26" s="48"/>
      <c r="AF26" s="48"/>
      <c r="AG26" s="48"/>
      <c r="AH26" s="48"/>
      <c r="AI26" s="48"/>
      <c r="AJ26" s="47" t="s">
        <v>164</v>
      </c>
      <c r="AK26" s="49"/>
      <c r="AL26" s="48" t="s">
        <v>147</v>
      </c>
      <c r="AM26" s="48"/>
      <c r="AN26" s="48"/>
      <c r="AO26" s="48"/>
      <c r="AP26" s="49"/>
    </row>
    <row r="27" spans="1:42">
      <c r="A27" s="18" t="s">
        <v>190</v>
      </c>
      <c r="B27" s="48"/>
      <c r="C27" s="48"/>
      <c r="D27" s="18" t="s">
        <v>70</v>
      </c>
      <c r="E27" s="48"/>
      <c r="F27" s="48"/>
      <c r="G27" s="49"/>
      <c r="H27" s="18" t="s">
        <v>50</v>
      </c>
      <c r="I27" s="48"/>
      <c r="J27" s="47" t="s">
        <v>181</v>
      </c>
      <c r="K27" s="48"/>
      <c r="L27" s="28" t="s">
        <v>320</v>
      </c>
      <c r="M27" s="29"/>
      <c r="N27" s="64" t="s">
        <v>323</v>
      </c>
      <c r="O27" s="48"/>
      <c r="P27" s="49"/>
      <c r="Q27" s="47" t="s">
        <v>173</v>
      </c>
      <c r="R27" s="48"/>
      <c r="S27" s="48"/>
      <c r="T27" s="48"/>
      <c r="U27" s="49"/>
      <c r="V27" s="48" t="s">
        <v>150</v>
      </c>
      <c r="W27" s="48"/>
      <c r="X27" s="48"/>
      <c r="Y27" s="48"/>
      <c r="Z27" s="48"/>
      <c r="AA27" s="48"/>
      <c r="AB27" s="47" t="s">
        <v>138</v>
      </c>
      <c r="AC27" s="48"/>
      <c r="AD27" s="48"/>
      <c r="AE27" s="48"/>
      <c r="AF27" s="48"/>
      <c r="AG27" s="48"/>
      <c r="AH27" s="48"/>
      <c r="AI27" s="48"/>
      <c r="AJ27" s="47" t="s">
        <v>164</v>
      </c>
      <c r="AK27" s="49"/>
      <c r="AL27" s="48" t="s">
        <v>147</v>
      </c>
      <c r="AM27" s="48"/>
      <c r="AN27" s="48"/>
      <c r="AO27" s="48"/>
      <c r="AP27" s="49"/>
    </row>
    <row r="28" spans="1:42">
      <c r="A28" s="18" t="s">
        <v>191</v>
      </c>
      <c r="B28" s="48"/>
      <c r="C28" s="48"/>
      <c r="D28" s="18" t="s">
        <v>70</v>
      </c>
      <c r="E28" s="48"/>
      <c r="F28" s="48"/>
      <c r="G28" s="49"/>
      <c r="H28" s="18" t="s">
        <v>50</v>
      </c>
      <c r="I28" s="48"/>
      <c r="J28" s="47" t="s">
        <v>181</v>
      </c>
      <c r="K28" s="48"/>
      <c r="L28" s="28" t="s">
        <v>321</v>
      </c>
      <c r="M28" s="29"/>
      <c r="N28" s="64" t="s">
        <v>323</v>
      </c>
      <c r="O28" s="48"/>
      <c r="P28" s="49"/>
      <c r="Q28" s="47" t="s">
        <v>174</v>
      </c>
      <c r="R28" s="48"/>
      <c r="S28" s="48"/>
      <c r="T28" s="48"/>
      <c r="U28" s="49"/>
      <c r="V28" s="48" t="s">
        <v>145</v>
      </c>
      <c r="W28" s="48"/>
      <c r="X28" s="48"/>
      <c r="Y28" s="48"/>
      <c r="Z28" s="48"/>
      <c r="AA28" s="48"/>
      <c r="AB28" s="47" t="s">
        <v>151</v>
      </c>
      <c r="AC28" s="48"/>
      <c r="AD28" s="48"/>
      <c r="AE28" s="48"/>
      <c r="AF28" s="48"/>
      <c r="AG28" s="48"/>
      <c r="AH28" s="48"/>
      <c r="AI28" s="48"/>
      <c r="AJ28" s="47" t="s">
        <v>164</v>
      </c>
      <c r="AK28" s="49"/>
      <c r="AL28" s="48" t="s">
        <v>147</v>
      </c>
      <c r="AM28" s="48"/>
      <c r="AN28" s="48"/>
      <c r="AO28" s="48"/>
      <c r="AP28" s="49"/>
    </row>
    <row r="29" spans="1:42">
      <c r="A29" s="18" t="s">
        <v>192</v>
      </c>
      <c r="B29" s="48"/>
      <c r="C29" s="48"/>
      <c r="D29" s="18" t="s">
        <v>70</v>
      </c>
      <c r="E29" s="48"/>
      <c r="F29" s="48"/>
      <c r="G29" s="49"/>
      <c r="H29" s="18" t="s">
        <v>50</v>
      </c>
      <c r="I29" s="48"/>
      <c r="J29" s="47" t="s">
        <v>123</v>
      </c>
      <c r="K29" s="48"/>
      <c r="L29" s="28" t="s">
        <v>320</v>
      </c>
      <c r="M29" s="29"/>
      <c r="N29" s="64" t="s">
        <v>323</v>
      </c>
      <c r="O29" s="48"/>
      <c r="P29" s="49"/>
      <c r="Q29" s="47" t="s">
        <v>175</v>
      </c>
      <c r="R29" s="48"/>
      <c r="S29" s="48"/>
      <c r="T29" s="48"/>
      <c r="U29" s="49"/>
      <c r="V29" s="48" t="s">
        <v>152</v>
      </c>
      <c r="W29" s="48"/>
      <c r="X29" s="48"/>
      <c r="Y29" s="48"/>
      <c r="Z29" s="48"/>
      <c r="AA29" s="48"/>
      <c r="AB29" s="47" t="s">
        <v>142</v>
      </c>
      <c r="AC29" s="48"/>
      <c r="AD29" s="48"/>
      <c r="AE29" s="48"/>
      <c r="AF29" s="48"/>
      <c r="AG29" s="48"/>
      <c r="AH29" s="48"/>
      <c r="AI29" s="48"/>
      <c r="AJ29" s="47" t="s">
        <v>164</v>
      </c>
      <c r="AK29" s="49"/>
      <c r="AL29" s="48" t="s">
        <v>147</v>
      </c>
      <c r="AM29" s="48"/>
      <c r="AN29" s="48"/>
      <c r="AO29" s="48"/>
      <c r="AP29" s="49"/>
    </row>
    <row r="30" spans="1:42">
      <c r="A30" s="18" t="s">
        <v>193</v>
      </c>
      <c r="B30" s="48"/>
      <c r="C30" s="48"/>
      <c r="D30" s="18" t="s">
        <v>70</v>
      </c>
      <c r="E30" s="48"/>
      <c r="F30" s="48"/>
      <c r="G30" s="49"/>
      <c r="H30" s="18" t="s">
        <v>50</v>
      </c>
      <c r="I30" s="48"/>
      <c r="J30" s="47" t="s">
        <v>181</v>
      </c>
      <c r="K30" s="48"/>
      <c r="L30" s="28" t="s">
        <v>322</v>
      </c>
      <c r="M30" s="29"/>
      <c r="N30" s="64" t="s">
        <v>324</v>
      </c>
      <c r="O30" s="48"/>
      <c r="P30" s="49"/>
      <c r="Q30" s="47" t="s">
        <v>176</v>
      </c>
      <c r="R30" s="48"/>
      <c r="S30" s="48"/>
      <c r="T30" s="48"/>
      <c r="U30" s="49"/>
      <c r="V30" s="48" t="s">
        <v>153</v>
      </c>
      <c r="W30" s="48"/>
      <c r="X30" s="48"/>
      <c r="Y30" s="48"/>
      <c r="Z30" s="48"/>
      <c r="AA30" s="48"/>
      <c r="AB30" s="47" t="s">
        <v>154</v>
      </c>
      <c r="AC30" s="48"/>
      <c r="AD30" s="48"/>
      <c r="AE30" s="48"/>
      <c r="AF30" s="48"/>
      <c r="AG30" s="48"/>
      <c r="AH30" s="48"/>
      <c r="AI30" s="48"/>
      <c r="AJ30" s="47" t="s">
        <v>164</v>
      </c>
      <c r="AK30" s="49"/>
      <c r="AL30" s="48" t="s">
        <v>155</v>
      </c>
      <c r="AM30" s="48"/>
      <c r="AN30" s="48"/>
      <c r="AO30" s="48"/>
      <c r="AP30" s="49"/>
    </row>
    <row r="31" spans="1:42">
      <c r="A31" s="18" t="s">
        <v>194</v>
      </c>
      <c r="B31" s="48"/>
      <c r="C31" s="48"/>
      <c r="D31" s="18" t="s">
        <v>70</v>
      </c>
      <c r="E31" s="48"/>
      <c r="F31" s="48"/>
      <c r="G31" s="49"/>
      <c r="H31" s="18" t="s">
        <v>50</v>
      </c>
      <c r="I31" s="48"/>
      <c r="J31" s="47" t="s">
        <v>181</v>
      </c>
      <c r="K31" s="48"/>
      <c r="L31" s="28" t="s">
        <v>322</v>
      </c>
      <c r="M31" s="29"/>
      <c r="N31" s="65" t="s">
        <v>324</v>
      </c>
      <c r="O31" s="48"/>
      <c r="P31" s="49"/>
      <c r="Q31" s="47" t="s">
        <v>177</v>
      </c>
      <c r="R31" s="48"/>
      <c r="S31" s="48"/>
      <c r="T31" s="48"/>
      <c r="U31" s="49"/>
      <c r="V31" s="48" t="s">
        <v>156</v>
      </c>
      <c r="W31" s="48"/>
      <c r="X31" s="48"/>
      <c r="Y31" s="48"/>
      <c r="Z31" s="48"/>
      <c r="AA31" s="48"/>
      <c r="AB31" s="47" t="s">
        <v>157</v>
      </c>
      <c r="AC31" s="48"/>
      <c r="AD31" s="48"/>
      <c r="AE31" s="48"/>
      <c r="AF31" s="48"/>
      <c r="AG31" s="48"/>
      <c r="AH31" s="48"/>
      <c r="AI31" s="48"/>
      <c r="AJ31" s="47" t="s">
        <v>164</v>
      </c>
      <c r="AK31" s="49"/>
      <c r="AL31" s="48" t="s">
        <v>158</v>
      </c>
      <c r="AM31" s="48"/>
      <c r="AN31" s="48"/>
      <c r="AO31" s="48"/>
      <c r="AP31" s="49"/>
    </row>
    <row r="32" spans="1:42">
      <c r="A32" s="18" t="s">
        <v>195</v>
      </c>
      <c r="B32" s="48"/>
      <c r="C32" s="48"/>
      <c r="D32" s="18" t="s">
        <v>70</v>
      </c>
      <c r="E32" s="48"/>
      <c r="F32" s="48"/>
      <c r="G32" s="49"/>
      <c r="H32" s="18" t="s">
        <v>50</v>
      </c>
      <c r="I32" s="48"/>
      <c r="J32" s="47" t="s">
        <v>181</v>
      </c>
      <c r="K32" s="48"/>
      <c r="L32" s="28" t="s">
        <v>322</v>
      </c>
      <c r="M32" s="29"/>
      <c r="N32" s="65" t="s">
        <v>324</v>
      </c>
      <c r="O32" s="48"/>
      <c r="P32" s="49"/>
      <c r="Q32" s="47" t="s">
        <v>178</v>
      </c>
      <c r="R32" s="48"/>
      <c r="S32" s="48"/>
      <c r="T32" s="48"/>
      <c r="U32" s="49"/>
      <c r="V32" s="48" t="s">
        <v>159</v>
      </c>
      <c r="W32" s="48"/>
      <c r="X32" s="48"/>
      <c r="Y32" s="48"/>
      <c r="Z32" s="48"/>
      <c r="AA32" s="48"/>
      <c r="AB32" s="47" t="s">
        <v>160</v>
      </c>
      <c r="AC32" s="48"/>
      <c r="AD32" s="48"/>
      <c r="AE32" s="48"/>
      <c r="AF32" s="48"/>
      <c r="AG32" s="48"/>
      <c r="AH32" s="48"/>
      <c r="AI32" s="48"/>
      <c r="AJ32" s="47" t="s">
        <v>164</v>
      </c>
      <c r="AK32" s="49"/>
      <c r="AL32" s="48" t="s">
        <v>158</v>
      </c>
      <c r="AM32" s="48"/>
      <c r="AN32" s="48"/>
      <c r="AO32" s="48"/>
      <c r="AP32" s="49"/>
    </row>
    <row r="33" spans="1:42">
      <c r="A33" s="18" t="s">
        <v>196</v>
      </c>
      <c r="B33" s="48"/>
      <c r="C33" s="48"/>
      <c r="D33" s="18" t="s">
        <v>70</v>
      </c>
      <c r="E33" s="48"/>
      <c r="F33" s="48"/>
      <c r="G33" s="49"/>
      <c r="H33" s="18" t="s">
        <v>50</v>
      </c>
      <c r="I33" s="48"/>
      <c r="J33" s="47" t="s">
        <v>181</v>
      </c>
      <c r="K33" s="48"/>
      <c r="L33" s="28" t="s">
        <v>321</v>
      </c>
      <c r="M33" s="29"/>
      <c r="N33" s="64" t="s">
        <v>323</v>
      </c>
      <c r="O33" s="48"/>
      <c r="P33" s="49"/>
      <c r="Q33" s="47" t="s">
        <v>179</v>
      </c>
      <c r="R33" s="48"/>
      <c r="S33" s="48"/>
      <c r="T33" s="48"/>
      <c r="U33" s="49"/>
      <c r="V33" s="48" t="s">
        <v>161</v>
      </c>
      <c r="W33" s="48"/>
      <c r="X33" s="48"/>
      <c r="Y33" s="48"/>
      <c r="Z33" s="48"/>
      <c r="AA33" s="48"/>
      <c r="AB33" s="47" t="s">
        <v>162</v>
      </c>
      <c r="AC33" s="48"/>
      <c r="AD33" s="48"/>
      <c r="AE33" s="48"/>
      <c r="AF33" s="48"/>
      <c r="AG33" s="48"/>
      <c r="AH33" s="48"/>
      <c r="AI33" s="48"/>
      <c r="AJ33" s="47" t="s">
        <v>164</v>
      </c>
      <c r="AK33" s="49"/>
      <c r="AL33" s="48" t="s">
        <v>155</v>
      </c>
      <c r="AM33" s="48"/>
      <c r="AN33" s="48"/>
      <c r="AO33" s="48"/>
      <c r="AP33" s="49"/>
    </row>
    <row r="34" spans="1:42">
      <c r="A34" s="18" t="s">
        <v>197</v>
      </c>
      <c r="B34" s="48"/>
      <c r="C34" s="48"/>
      <c r="D34" s="18" t="s">
        <v>70</v>
      </c>
      <c r="E34" s="48"/>
      <c r="F34" s="48"/>
      <c r="G34" s="49"/>
      <c r="H34" s="18" t="s">
        <v>50</v>
      </c>
      <c r="I34" s="48"/>
      <c r="J34" s="47" t="s">
        <v>123</v>
      </c>
      <c r="K34" s="48"/>
      <c r="L34" s="28" t="s">
        <v>320</v>
      </c>
      <c r="M34" s="29"/>
      <c r="N34" s="64" t="s">
        <v>323</v>
      </c>
      <c r="O34" s="48"/>
      <c r="P34" s="49"/>
      <c r="Q34" s="47" t="s">
        <v>180</v>
      </c>
      <c r="R34" s="48"/>
      <c r="S34" s="48"/>
      <c r="T34" s="48"/>
      <c r="U34" s="49"/>
      <c r="V34" s="48" t="s">
        <v>163</v>
      </c>
      <c r="W34" s="48"/>
      <c r="X34" s="48"/>
      <c r="Y34" s="48"/>
      <c r="Z34" s="48"/>
      <c r="AA34" s="48"/>
      <c r="AB34" s="47" t="s">
        <v>142</v>
      </c>
      <c r="AC34" s="48"/>
      <c r="AD34" s="48"/>
      <c r="AE34" s="48"/>
      <c r="AF34" s="48"/>
      <c r="AG34" s="48"/>
      <c r="AH34" s="48"/>
      <c r="AI34" s="48"/>
      <c r="AJ34" s="47" t="s">
        <v>164</v>
      </c>
      <c r="AK34" s="49"/>
      <c r="AL34" s="48" t="s">
        <v>155</v>
      </c>
      <c r="AM34" s="48"/>
      <c r="AN34" s="48"/>
      <c r="AO34" s="48"/>
      <c r="AP34" s="49"/>
    </row>
    <row r="35" spans="1:42">
      <c r="A35" s="18" t="s">
        <v>228</v>
      </c>
      <c r="B35" s="48"/>
      <c r="C35" s="48"/>
      <c r="D35" s="47" t="s">
        <v>71</v>
      </c>
      <c r="E35" s="48"/>
      <c r="F35" s="48"/>
      <c r="G35" s="49"/>
      <c r="H35" s="47" t="s">
        <v>51</v>
      </c>
      <c r="I35" s="48"/>
      <c r="J35" s="47" t="s">
        <v>181</v>
      </c>
      <c r="K35" s="48"/>
      <c r="L35" s="28" t="s">
        <v>320</v>
      </c>
      <c r="M35" s="29"/>
      <c r="N35" s="64" t="s">
        <v>323</v>
      </c>
      <c r="O35" s="48"/>
      <c r="P35" s="49"/>
      <c r="Q35" s="47" t="s">
        <v>219</v>
      </c>
      <c r="R35" s="48"/>
      <c r="S35" s="48"/>
      <c r="T35" s="48"/>
      <c r="U35" s="49"/>
      <c r="V35" s="48" t="s">
        <v>198</v>
      </c>
      <c r="W35" s="48"/>
      <c r="X35" s="48"/>
      <c r="Y35" s="48"/>
      <c r="Z35" s="48"/>
      <c r="AA35" s="48"/>
      <c r="AB35" s="47" t="s">
        <v>199</v>
      </c>
      <c r="AC35" s="48"/>
      <c r="AD35" s="48"/>
      <c r="AE35" s="48"/>
      <c r="AF35" s="48"/>
      <c r="AG35" s="48"/>
      <c r="AH35" s="48"/>
      <c r="AI35" s="48"/>
      <c r="AJ35" s="47" t="s">
        <v>79</v>
      </c>
      <c r="AK35" s="49"/>
      <c r="AL35" s="48" t="s">
        <v>200</v>
      </c>
      <c r="AM35" s="48"/>
      <c r="AN35" s="48"/>
      <c r="AO35" s="48"/>
      <c r="AP35" s="49"/>
    </row>
    <row r="36" spans="1:42">
      <c r="A36" s="18" t="s">
        <v>229</v>
      </c>
      <c r="B36" s="48"/>
      <c r="C36" s="48"/>
      <c r="D36" s="47" t="s">
        <v>71</v>
      </c>
      <c r="E36" s="48"/>
      <c r="F36" s="48"/>
      <c r="G36" s="49"/>
      <c r="H36" s="47" t="s">
        <v>51</v>
      </c>
      <c r="I36" s="48"/>
      <c r="J36" s="47" t="s">
        <v>181</v>
      </c>
      <c r="K36" s="48"/>
      <c r="L36" s="28" t="s">
        <v>320</v>
      </c>
      <c r="M36" s="29"/>
      <c r="N36" s="64" t="s">
        <v>323</v>
      </c>
      <c r="O36" s="48"/>
      <c r="P36" s="49"/>
      <c r="Q36" s="47" t="s">
        <v>220</v>
      </c>
      <c r="R36" s="48"/>
      <c r="S36" s="48"/>
      <c r="T36" s="48"/>
      <c r="U36" s="49"/>
      <c r="V36" s="48" t="s">
        <v>201</v>
      </c>
      <c r="W36" s="48"/>
      <c r="X36" s="48"/>
      <c r="Y36" s="48"/>
      <c r="Z36" s="48"/>
      <c r="AA36" s="48"/>
      <c r="AB36" s="47" t="s">
        <v>202</v>
      </c>
      <c r="AC36" s="48"/>
      <c r="AD36" s="48"/>
      <c r="AE36" s="48"/>
      <c r="AF36" s="48"/>
      <c r="AG36" s="48"/>
      <c r="AH36" s="48"/>
      <c r="AI36" s="48"/>
      <c r="AJ36" s="47" t="s">
        <v>79</v>
      </c>
      <c r="AK36" s="49"/>
      <c r="AL36" s="48" t="s">
        <v>200</v>
      </c>
      <c r="AM36" s="48"/>
      <c r="AN36" s="48"/>
      <c r="AO36" s="48"/>
      <c r="AP36" s="49"/>
    </row>
    <row r="37" spans="1:42">
      <c r="A37" s="18" t="s">
        <v>230</v>
      </c>
      <c r="B37" s="48"/>
      <c r="C37" s="48"/>
      <c r="D37" s="47" t="s">
        <v>71</v>
      </c>
      <c r="E37" s="48"/>
      <c r="F37" s="48"/>
      <c r="G37" s="49"/>
      <c r="H37" s="47" t="s">
        <v>51</v>
      </c>
      <c r="I37" s="48"/>
      <c r="J37" s="47" t="s">
        <v>181</v>
      </c>
      <c r="K37" s="48"/>
      <c r="L37" s="28" t="s">
        <v>320</v>
      </c>
      <c r="M37" s="29"/>
      <c r="N37" s="64" t="s">
        <v>323</v>
      </c>
      <c r="O37" s="48"/>
      <c r="P37" s="49"/>
      <c r="Q37" s="47" t="s">
        <v>221</v>
      </c>
      <c r="R37" s="48"/>
      <c r="S37" s="48"/>
      <c r="T37" s="48"/>
      <c r="U37" s="49"/>
      <c r="V37" s="48" t="s">
        <v>203</v>
      </c>
      <c r="W37" s="48"/>
      <c r="X37" s="48"/>
      <c r="Y37" s="48"/>
      <c r="Z37" s="48"/>
      <c r="AA37" s="48"/>
      <c r="AB37" s="47" t="s">
        <v>204</v>
      </c>
      <c r="AC37" s="48"/>
      <c r="AD37" s="48"/>
      <c r="AE37" s="48"/>
      <c r="AF37" s="48"/>
      <c r="AG37" s="48"/>
      <c r="AH37" s="48"/>
      <c r="AI37" s="48"/>
      <c r="AJ37" s="47" t="s">
        <v>79</v>
      </c>
      <c r="AK37" s="49"/>
      <c r="AL37" s="48" t="s">
        <v>200</v>
      </c>
      <c r="AM37" s="48"/>
      <c r="AN37" s="48"/>
      <c r="AO37" s="48"/>
      <c r="AP37" s="49"/>
    </row>
    <row r="38" spans="1:42">
      <c r="A38" s="18" t="s">
        <v>231</v>
      </c>
      <c r="B38" s="48"/>
      <c r="C38" s="48"/>
      <c r="D38" s="47" t="s">
        <v>71</v>
      </c>
      <c r="E38" s="48"/>
      <c r="F38" s="48"/>
      <c r="G38" s="49"/>
      <c r="H38" s="47" t="s">
        <v>51</v>
      </c>
      <c r="I38" s="48"/>
      <c r="J38" s="47" t="s">
        <v>181</v>
      </c>
      <c r="K38" s="48"/>
      <c r="L38" s="28" t="s">
        <v>320</v>
      </c>
      <c r="M38" s="29"/>
      <c r="N38" s="64" t="s">
        <v>323</v>
      </c>
      <c r="O38" s="48"/>
      <c r="P38" s="49"/>
      <c r="Q38" s="47" t="s">
        <v>222</v>
      </c>
      <c r="R38" s="48"/>
      <c r="S38" s="48"/>
      <c r="T38" s="48"/>
      <c r="U38" s="49"/>
      <c r="V38" s="48" t="s">
        <v>205</v>
      </c>
      <c r="W38" s="48"/>
      <c r="X38" s="48"/>
      <c r="Y38" s="48"/>
      <c r="Z38" s="48"/>
      <c r="AA38" s="48"/>
      <c r="AB38" s="47" t="s">
        <v>206</v>
      </c>
      <c r="AC38" s="48"/>
      <c r="AD38" s="48"/>
      <c r="AE38" s="48"/>
      <c r="AF38" s="48"/>
      <c r="AG38" s="48"/>
      <c r="AH38" s="48"/>
      <c r="AI38" s="48"/>
      <c r="AJ38" s="47" t="s">
        <v>79</v>
      </c>
      <c r="AK38" s="49"/>
      <c r="AL38" s="48" t="s">
        <v>200</v>
      </c>
      <c r="AM38" s="48"/>
      <c r="AN38" s="48"/>
      <c r="AO38" s="48"/>
      <c r="AP38" s="49"/>
    </row>
    <row r="39" spans="1:42">
      <c r="A39" s="18" t="s">
        <v>232</v>
      </c>
      <c r="B39" s="48"/>
      <c r="C39" s="48"/>
      <c r="D39" s="47" t="s">
        <v>71</v>
      </c>
      <c r="E39" s="48"/>
      <c r="F39" s="48"/>
      <c r="G39" s="49"/>
      <c r="H39" s="47" t="s">
        <v>51</v>
      </c>
      <c r="I39" s="48"/>
      <c r="J39" s="47" t="s">
        <v>181</v>
      </c>
      <c r="K39" s="48"/>
      <c r="L39" s="28" t="s">
        <v>320</v>
      </c>
      <c r="M39" s="29"/>
      <c r="N39" s="64" t="s">
        <v>323</v>
      </c>
      <c r="O39" s="48"/>
      <c r="P39" s="49"/>
      <c r="Q39" s="47" t="s">
        <v>223</v>
      </c>
      <c r="R39" s="48"/>
      <c r="S39" s="48"/>
      <c r="T39" s="48"/>
      <c r="U39" s="49"/>
      <c r="V39" s="48" t="s">
        <v>207</v>
      </c>
      <c r="W39" s="48"/>
      <c r="X39" s="48"/>
      <c r="Y39" s="48"/>
      <c r="Z39" s="48"/>
      <c r="AA39" s="48"/>
      <c r="AB39" s="47" t="s">
        <v>208</v>
      </c>
      <c r="AC39" s="48"/>
      <c r="AD39" s="48"/>
      <c r="AE39" s="48"/>
      <c r="AF39" s="48"/>
      <c r="AG39" s="48"/>
      <c r="AH39" s="48"/>
      <c r="AI39" s="48"/>
      <c r="AJ39" s="47" t="s">
        <v>79</v>
      </c>
      <c r="AK39" s="49"/>
      <c r="AL39" s="48" t="s">
        <v>200</v>
      </c>
      <c r="AM39" s="48"/>
      <c r="AN39" s="48"/>
      <c r="AO39" s="48"/>
      <c r="AP39" s="49"/>
    </row>
    <row r="40" spans="1:42">
      <c r="A40" s="18" t="s">
        <v>233</v>
      </c>
      <c r="B40" s="48"/>
      <c r="C40" s="48"/>
      <c r="D40" s="47" t="s">
        <v>71</v>
      </c>
      <c r="E40" s="48"/>
      <c r="F40" s="48"/>
      <c r="G40" s="49"/>
      <c r="H40" s="47" t="s">
        <v>51</v>
      </c>
      <c r="I40" s="48"/>
      <c r="J40" s="47" t="s">
        <v>181</v>
      </c>
      <c r="K40" s="48"/>
      <c r="L40" s="28" t="s">
        <v>321</v>
      </c>
      <c r="M40" s="29"/>
      <c r="N40" s="64" t="s">
        <v>323</v>
      </c>
      <c r="O40" s="48"/>
      <c r="P40" s="49"/>
      <c r="Q40" s="47" t="s">
        <v>224</v>
      </c>
      <c r="R40" s="48"/>
      <c r="S40" s="48"/>
      <c r="T40" s="48"/>
      <c r="U40" s="49"/>
      <c r="V40" s="48" t="s">
        <v>209</v>
      </c>
      <c r="W40" s="48"/>
      <c r="X40" s="48"/>
      <c r="Y40" s="48"/>
      <c r="Z40" s="48"/>
      <c r="AA40" s="48"/>
      <c r="AB40" s="47" t="s">
        <v>210</v>
      </c>
      <c r="AC40" s="48"/>
      <c r="AD40" s="48"/>
      <c r="AE40" s="48"/>
      <c r="AF40" s="48"/>
      <c r="AG40" s="48"/>
      <c r="AH40" s="48"/>
      <c r="AI40" s="48"/>
      <c r="AJ40" s="47" t="s">
        <v>79</v>
      </c>
      <c r="AK40" s="49"/>
      <c r="AL40" s="48" t="s">
        <v>200</v>
      </c>
      <c r="AM40" s="48"/>
      <c r="AN40" s="48"/>
      <c r="AO40" s="48"/>
      <c r="AP40" s="49"/>
    </row>
    <row r="41" spans="1:42">
      <c r="A41" s="18" t="s">
        <v>234</v>
      </c>
      <c r="B41" s="48"/>
      <c r="C41" s="48"/>
      <c r="D41" s="47" t="s">
        <v>71</v>
      </c>
      <c r="E41" s="48"/>
      <c r="F41" s="48"/>
      <c r="G41" s="49"/>
      <c r="H41" s="47" t="s">
        <v>51</v>
      </c>
      <c r="I41" s="48"/>
      <c r="J41" s="47" t="s">
        <v>181</v>
      </c>
      <c r="K41" s="48"/>
      <c r="L41" s="28" t="s">
        <v>321</v>
      </c>
      <c r="M41" s="29"/>
      <c r="N41" s="64" t="s">
        <v>323</v>
      </c>
      <c r="O41" s="48"/>
      <c r="P41" s="49"/>
      <c r="Q41" s="47" t="s">
        <v>225</v>
      </c>
      <c r="R41" s="48"/>
      <c r="S41" s="48"/>
      <c r="T41" s="48"/>
      <c r="U41" s="49"/>
      <c r="V41" s="48" t="s">
        <v>211</v>
      </c>
      <c r="W41" s="48"/>
      <c r="X41" s="48"/>
      <c r="Y41" s="48"/>
      <c r="Z41" s="48"/>
      <c r="AA41" s="48"/>
      <c r="AB41" s="47" t="s">
        <v>212</v>
      </c>
      <c r="AC41" s="48"/>
      <c r="AD41" s="48"/>
      <c r="AE41" s="48"/>
      <c r="AF41" s="48"/>
      <c r="AG41" s="48"/>
      <c r="AH41" s="48"/>
      <c r="AI41" s="48"/>
      <c r="AJ41" s="47" t="s">
        <v>79</v>
      </c>
      <c r="AK41" s="49"/>
      <c r="AL41" s="48" t="s">
        <v>213</v>
      </c>
      <c r="AM41" s="48"/>
      <c r="AN41" s="48"/>
      <c r="AO41" s="48"/>
      <c r="AP41" s="49"/>
    </row>
    <row r="42" spans="1:42">
      <c r="A42" s="18" t="s">
        <v>235</v>
      </c>
      <c r="B42" s="48"/>
      <c r="C42" s="48"/>
      <c r="D42" s="47" t="s">
        <v>71</v>
      </c>
      <c r="E42" s="48"/>
      <c r="F42" s="48"/>
      <c r="G42" s="49"/>
      <c r="H42" s="47" t="s">
        <v>51</v>
      </c>
      <c r="I42" s="48"/>
      <c r="J42" s="47" t="s">
        <v>123</v>
      </c>
      <c r="K42" s="48"/>
      <c r="L42" s="28" t="s">
        <v>322</v>
      </c>
      <c r="M42" s="29"/>
      <c r="N42" s="65" t="s">
        <v>324</v>
      </c>
      <c r="O42" s="48"/>
      <c r="P42" s="49"/>
      <c r="Q42" s="47" t="s">
        <v>226</v>
      </c>
      <c r="R42" s="48"/>
      <c r="S42" s="48"/>
      <c r="T42" s="48"/>
      <c r="U42" s="49"/>
      <c r="V42" s="48" t="s">
        <v>214</v>
      </c>
      <c r="W42" s="48"/>
      <c r="X42" s="48"/>
      <c r="Y42" s="48"/>
      <c r="Z42" s="48"/>
      <c r="AA42" s="48"/>
      <c r="AB42" s="47" t="s">
        <v>215</v>
      </c>
      <c r="AC42" s="48"/>
      <c r="AD42" s="48"/>
      <c r="AE42" s="48"/>
      <c r="AF42" s="48"/>
      <c r="AG42" s="48"/>
      <c r="AH42" s="48"/>
      <c r="AI42" s="48"/>
      <c r="AJ42" s="47" t="s">
        <v>79</v>
      </c>
      <c r="AK42" s="49"/>
      <c r="AL42" s="48" t="s">
        <v>200</v>
      </c>
      <c r="AM42" s="48"/>
      <c r="AN42" s="48"/>
      <c r="AO42" s="48"/>
      <c r="AP42" s="49"/>
    </row>
    <row r="43" spans="1:42">
      <c r="A43" s="18" t="s">
        <v>236</v>
      </c>
      <c r="B43" s="48"/>
      <c r="C43" s="48"/>
      <c r="D43" s="47" t="s">
        <v>71</v>
      </c>
      <c r="E43" s="48"/>
      <c r="F43" s="48"/>
      <c r="G43" s="49"/>
      <c r="H43" s="47" t="s">
        <v>51</v>
      </c>
      <c r="I43" s="48"/>
      <c r="J43" s="47" t="s">
        <v>123</v>
      </c>
      <c r="K43" s="48"/>
      <c r="L43" s="28" t="s">
        <v>322</v>
      </c>
      <c r="M43" s="29"/>
      <c r="N43" s="65" t="s">
        <v>324</v>
      </c>
      <c r="O43" s="48"/>
      <c r="P43" s="49"/>
      <c r="Q43" s="47" t="s">
        <v>227</v>
      </c>
      <c r="R43" s="48"/>
      <c r="S43" s="48"/>
      <c r="T43" s="48"/>
      <c r="U43" s="49"/>
      <c r="V43" s="48" t="s">
        <v>216</v>
      </c>
      <c r="W43" s="48"/>
      <c r="X43" s="48"/>
      <c r="Y43" s="48"/>
      <c r="Z43" s="48"/>
      <c r="AA43" s="48"/>
      <c r="AB43" s="47" t="s">
        <v>217</v>
      </c>
      <c r="AC43" s="48"/>
      <c r="AD43" s="48"/>
      <c r="AE43" s="48"/>
      <c r="AF43" s="48"/>
      <c r="AG43" s="48"/>
      <c r="AH43" s="48"/>
      <c r="AI43" s="48"/>
      <c r="AJ43" s="47" t="s">
        <v>79</v>
      </c>
      <c r="AK43" s="49"/>
      <c r="AL43" s="48" t="s">
        <v>218</v>
      </c>
      <c r="AM43" s="48"/>
      <c r="AN43" s="48"/>
      <c r="AO43" s="48"/>
      <c r="AP43" s="49"/>
    </row>
    <row r="44" spans="1:42">
      <c r="A44" s="18" t="s">
        <v>261</v>
      </c>
      <c r="B44" s="48"/>
      <c r="C44" s="48"/>
      <c r="D44" s="47" t="s">
        <v>72</v>
      </c>
      <c r="E44" s="48"/>
      <c r="F44" s="48"/>
      <c r="G44" s="49"/>
      <c r="H44" s="47" t="s">
        <v>318</v>
      </c>
      <c r="I44" s="48"/>
      <c r="J44" s="47" t="s">
        <v>181</v>
      </c>
      <c r="K44" s="48"/>
      <c r="L44" s="28" t="s">
        <v>320</v>
      </c>
      <c r="M44" s="29"/>
      <c r="N44" s="64" t="s">
        <v>323</v>
      </c>
      <c r="O44" s="48"/>
      <c r="P44" s="49"/>
      <c r="Q44" s="47" t="s">
        <v>254</v>
      </c>
      <c r="R44" s="48"/>
      <c r="S44" s="48"/>
      <c r="T44" s="48"/>
      <c r="U44" s="49"/>
      <c r="V44" s="48" t="s">
        <v>237</v>
      </c>
      <c r="W44" s="48"/>
      <c r="X44" s="48"/>
      <c r="Y44" s="48"/>
      <c r="Z44" s="48"/>
      <c r="AA44" s="48"/>
      <c r="AB44" s="47" t="s">
        <v>238</v>
      </c>
      <c r="AC44" s="48"/>
      <c r="AD44" s="48"/>
      <c r="AE44" s="48"/>
      <c r="AF44" s="48"/>
      <c r="AG44" s="48"/>
      <c r="AH44" s="48"/>
      <c r="AI44" s="48"/>
      <c r="AJ44" s="47" t="s">
        <v>79</v>
      </c>
      <c r="AK44" s="49"/>
      <c r="AL44" s="48" t="s">
        <v>239</v>
      </c>
      <c r="AM44" s="48"/>
      <c r="AN44" s="48"/>
      <c r="AO44" s="48"/>
      <c r="AP44" s="49"/>
    </row>
    <row r="45" spans="1:42">
      <c r="A45" s="18" t="s">
        <v>262</v>
      </c>
      <c r="B45" s="48"/>
      <c r="C45" s="48"/>
      <c r="D45" s="47" t="s">
        <v>72</v>
      </c>
      <c r="E45" s="48"/>
      <c r="F45" s="48"/>
      <c r="G45" s="49"/>
      <c r="H45" s="47" t="s">
        <v>318</v>
      </c>
      <c r="I45" s="48"/>
      <c r="J45" s="47" t="s">
        <v>181</v>
      </c>
      <c r="K45" s="48"/>
      <c r="L45" s="28" t="s">
        <v>321</v>
      </c>
      <c r="M45" s="29"/>
      <c r="N45" s="64" t="s">
        <v>323</v>
      </c>
      <c r="O45" s="48"/>
      <c r="P45" s="49"/>
      <c r="Q45" s="47" t="s">
        <v>255</v>
      </c>
      <c r="R45" s="48"/>
      <c r="S45" s="48"/>
      <c r="T45" s="48"/>
      <c r="U45" s="49"/>
      <c r="V45" s="48" t="s">
        <v>240</v>
      </c>
      <c r="W45" s="48"/>
      <c r="X45" s="48"/>
      <c r="Y45" s="48"/>
      <c r="Z45" s="48"/>
      <c r="AA45" s="48"/>
      <c r="AB45" s="47" t="s">
        <v>241</v>
      </c>
      <c r="AC45" s="48"/>
      <c r="AD45" s="48"/>
      <c r="AE45" s="48"/>
      <c r="AF45" s="48"/>
      <c r="AG45" s="48"/>
      <c r="AH45" s="48"/>
      <c r="AI45" s="48"/>
      <c r="AJ45" s="47" t="s">
        <v>79</v>
      </c>
      <c r="AK45" s="49"/>
      <c r="AL45" s="48" t="s">
        <v>242</v>
      </c>
      <c r="AM45" s="48"/>
      <c r="AN45" s="48"/>
      <c r="AO45" s="48"/>
      <c r="AP45" s="49"/>
    </row>
    <row r="46" spans="1:42">
      <c r="A46" s="18" t="s">
        <v>263</v>
      </c>
      <c r="B46" s="48"/>
      <c r="C46" s="48"/>
      <c r="D46" s="47" t="s">
        <v>72</v>
      </c>
      <c r="E46" s="48"/>
      <c r="F46" s="48"/>
      <c r="G46" s="49"/>
      <c r="H46" s="47" t="s">
        <v>318</v>
      </c>
      <c r="I46" s="48"/>
      <c r="J46" s="47" t="s">
        <v>181</v>
      </c>
      <c r="K46" s="48"/>
      <c r="L46" s="28" t="s">
        <v>320</v>
      </c>
      <c r="M46" s="29"/>
      <c r="N46" s="64" t="s">
        <v>323</v>
      </c>
      <c r="O46" s="48"/>
      <c r="P46" s="49"/>
      <c r="Q46" s="47" t="s">
        <v>256</v>
      </c>
      <c r="R46" s="48"/>
      <c r="S46" s="48"/>
      <c r="T46" s="48"/>
      <c r="U46" s="49"/>
      <c r="V46" s="48" t="s">
        <v>243</v>
      </c>
      <c r="W46" s="48"/>
      <c r="X46" s="48"/>
      <c r="Y46" s="48"/>
      <c r="Z46" s="48"/>
      <c r="AA46" s="48"/>
      <c r="AB46" s="47" t="s">
        <v>244</v>
      </c>
      <c r="AC46" s="48"/>
      <c r="AD46" s="48"/>
      <c r="AE46" s="48"/>
      <c r="AF46" s="48"/>
      <c r="AG46" s="48"/>
      <c r="AH46" s="48"/>
      <c r="AI46" s="48"/>
      <c r="AJ46" s="47" t="s">
        <v>79</v>
      </c>
      <c r="AK46" s="49"/>
      <c r="AL46" s="48" t="s">
        <v>245</v>
      </c>
      <c r="AM46" s="48"/>
      <c r="AN46" s="48"/>
      <c r="AO46" s="48"/>
      <c r="AP46" s="49"/>
    </row>
    <row r="47" spans="1:42">
      <c r="A47" s="18" t="s">
        <v>264</v>
      </c>
      <c r="B47" s="48"/>
      <c r="C47" s="48"/>
      <c r="D47" s="47" t="s">
        <v>72</v>
      </c>
      <c r="E47" s="48"/>
      <c r="F47" s="48"/>
      <c r="G47" s="49"/>
      <c r="H47" s="47" t="s">
        <v>318</v>
      </c>
      <c r="I47" s="48"/>
      <c r="J47" s="47" t="s">
        <v>181</v>
      </c>
      <c r="K47" s="48"/>
      <c r="L47" s="28" t="s">
        <v>320</v>
      </c>
      <c r="M47" s="29"/>
      <c r="N47" s="64" t="s">
        <v>323</v>
      </c>
      <c r="O47" s="48"/>
      <c r="P47" s="49"/>
      <c r="Q47" s="47" t="s">
        <v>257</v>
      </c>
      <c r="R47" s="48"/>
      <c r="S47" s="48"/>
      <c r="T47" s="48"/>
      <c r="U47" s="49"/>
      <c r="V47" s="48" t="s">
        <v>246</v>
      </c>
      <c r="W47" s="48"/>
      <c r="X47" s="48"/>
      <c r="Y47" s="48"/>
      <c r="Z47" s="48"/>
      <c r="AA47" s="48"/>
      <c r="AB47" s="47" t="s">
        <v>247</v>
      </c>
      <c r="AC47" s="48"/>
      <c r="AD47" s="48"/>
      <c r="AE47" s="48"/>
      <c r="AF47" s="48"/>
      <c r="AG47" s="48"/>
      <c r="AH47" s="48"/>
      <c r="AI47" s="48"/>
      <c r="AJ47" s="47" t="s">
        <v>79</v>
      </c>
      <c r="AK47" s="49"/>
      <c r="AL47" s="48" t="s">
        <v>239</v>
      </c>
      <c r="AM47" s="48"/>
      <c r="AN47" s="48"/>
      <c r="AO47" s="48"/>
      <c r="AP47" s="49"/>
    </row>
    <row r="48" spans="1:42">
      <c r="A48" s="18" t="s">
        <v>265</v>
      </c>
      <c r="B48" s="48"/>
      <c r="C48" s="48"/>
      <c r="D48" s="47" t="s">
        <v>72</v>
      </c>
      <c r="E48" s="48"/>
      <c r="F48" s="48"/>
      <c r="G48" s="49"/>
      <c r="H48" s="47" t="s">
        <v>318</v>
      </c>
      <c r="I48" s="48"/>
      <c r="J48" s="47" t="s">
        <v>181</v>
      </c>
      <c r="K48" s="48"/>
      <c r="L48" s="28" t="s">
        <v>320</v>
      </c>
      <c r="M48" s="29"/>
      <c r="N48" s="64" t="s">
        <v>323</v>
      </c>
      <c r="O48" s="48"/>
      <c r="P48" s="49"/>
      <c r="Q48" s="47" t="s">
        <v>258</v>
      </c>
      <c r="R48" s="48"/>
      <c r="S48" s="48"/>
      <c r="T48" s="48"/>
      <c r="U48" s="49"/>
      <c r="V48" s="48" t="s">
        <v>248</v>
      </c>
      <c r="W48" s="48"/>
      <c r="X48" s="48"/>
      <c r="Y48" s="48"/>
      <c r="Z48" s="48"/>
      <c r="AA48" s="48"/>
      <c r="AB48" s="47" t="s">
        <v>249</v>
      </c>
      <c r="AC48" s="48"/>
      <c r="AD48" s="48"/>
      <c r="AE48" s="48"/>
      <c r="AF48" s="48"/>
      <c r="AG48" s="48"/>
      <c r="AH48" s="48"/>
      <c r="AI48" s="48"/>
      <c r="AJ48" s="47" t="s">
        <v>79</v>
      </c>
      <c r="AK48" s="49"/>
      <c r="AL48" s="48" t="s">
        <v>239</v>
      </c>
      <c r="AM48" s="48"/>
      <c r="AN48" s="48"/>
      <c r="AO48" s="48"/>
      <c r="AP48" s="49"/>
    </row>
    <row r="49" spans="1:42">
      <c r="A49" s="18" t="s">
        <v>266</v>
      </c>
      <c r="B49" s="48"/>
      <c r="C49" s="48"/>
      <c r="D49" s="47" t="s">
        <v>72</v>
      </c>
      <c r="E49" s="48"/>
      <c r="F49" s="48"/>
      <c r="G49" s="49"/>
      <c r="H49" s="47" t="s">
        <v>318</v>
      </c>
      <c r="I49" s="48"/>
      <c r="J49" s="47" t="s">
        <v>123</v>
      </c>
      <c r="K49" s="48"/>
      <c r="L49" s="28" t="s">
        <v>322</v>
      </c>
      <c r="M49" s="29"/>
      <c r="N49" s="65" t="s">
        <v>324</v>
      </c>
      <c r="O49" s="48"/>
      <c r="P49" s="49"/>
      <c r="Q49" s="47" t="s">
        <v>259</v>
      </c>
      <c r="R49" s="48"/>
      <c r="S49" s="48"/>
      <c r="T49" s="48"/>
      <c r="U49" s="49"/>
      <c r="V49" s="48" t="s">
        <v>250</v>
      </c>
      <c r="W49" s="48"/>
      <c r="X49" s="48"/>
      <c r="Y49" s="48"/>
      <c r="Z49" s="48"/>
      <c r="AA49" s="48"/>
      <c r="AB49" s="47" t="s">
        <v>251</v>
      </c>
      <c r="AC49" s="48"/>
      <c r="AD49" s="48"/>
      <c r="AE49" s="48"/>
      <c r="AF49" s="48"/>
      <c r="AG49" s="48"/>
      <c r="AH49" s="48"/>
      <c r="AI49" s="48"/>
      <c r="AJ49" s="47" t="s">
        <v>79</v>
      </c>
      <c r="AK49" s="49"/>
      <c r="AL49" s="48" t="s">
        <v>239</v>
      </c>
      <c r="AM49" s="48"/>
      <c r="AN49" s="48"/>
      <c r="AO49" s="48"/>
      <c r="AP49" s="49"/>
    </row>
    <row r="50" spans="1:42">
      <c r="A50" s="18" t="s">
        <v>267</v>
      </c>
      <c r="B50" s="48"/>
      <c r="C50" s="48"/>
      <c r="D50" s="47" t="s">
        <v>72</v>
      </c>
      <c r="E50" s="48"/>
      <c r="F50" s="48"/>
      <c r="G50" s="49"/>
      <c r="H50" s="47" t="s">
        <v>318</v>
      </c>
      <c r="I50" s="48"/>
      <c r="J50" s="47" t="s">
        <v>123</v>
      </c>
      <c r="K50" s="48"/>
      <c r="L50" s="28" t="s">
        <v>322</v>
      </c>
      <c r="M50" s="29"/>
      <c r="N50" s="65" t="s">
        <v>324</v>
      </c>
      <c r="O50" s="48"/>
      <c r="P50" s="49"/>
      <c r="Q50" s="47" t="s">
        <v>260</v>
      </c>
      <c r="R50" s="48"/>
      <c r="S50" s="48"/>
      <c r="T50" s="48"/>
      <c r="U50" s="49"/>
      <c r="V50" s="48" t="s">
        <v>252</v>
      </c>
      <c r="W50" s="48"/>
      <c r="X50" s="48"/>
      <c r="Y50" s="48"/>
      <c r="Z50" s="48"/>
      <c r="AA50" s="48"/>
      <c r="AB50" s="47" t="s">
        <v>253</v>
      </c>
      <c r="AC50" s="48"/>
      <c r="AD50" s="48"/>
      <c r="AE50" s="48"/>
      <c r="AF50" s="48"/>
      <c r="AG50" s="48"/>
      <c r="AH50" s="48"/>
      <c r="AI50" s="48"/>
      <c r="AJ50" s="47" t="s">
        <v>79</v>
      </c>
      <c r="AK50" s="49"/>
      <c r="AL50" s="48" t="s">
        <v>218</v>
      </c>
      <c r="AM50" s="48"/>
      <c r="AN50" s="48"/>
      <c r="AO50" s="48"/>
      <c r="AP50" s="49"/>
    </row>
    <row r="51" spans="1:42">
      <c r="A51" s="18" t="s">
        <v>306</v>
      </c>
      <c r="B51" s="48"/>
      <c r="C51" s="48"/>
      <c r="D51" s="47" t="s">
        <v>73</v>
      </c>
      <c r="E51" s="48"/>
      <c r="F51" s="48"/>
      <c r="G51" s="49"/>
      <c r="H51" s="47" t="s">
        <v>319</v>
      </c>
      <c r="I51" s="48"/>
      <c r="J51" s="47" t="s">
        <v>181</v>
      </c>
      <c r="K51" s="48"/>
      <c r="L51" s="28" t="s">
        <v>320</v>
      </c>
      <c r="M51" s="29"/>
      <c r="N51" s="64" t="s">
        <v>323</v>
      </c>
      <c r="O51" s="48"/>
      <c r="P51" s="49"/>
      <c r="Q51" s="47" t="s">
        <v>294</v>
      </c>
      <c r="R51" s="48"/>
      <c r="S51" s="48"/>
      <c r="T51" s="48"/>
      <c r="U51" s="49"/>
      <c r="V51" s="48" t="s">
        <v>268</v>
      </c>
      <c r="W51" s="48"/>
      <c r="X51" s="48"/>
      <c r="Y51" s="48"/>
      <c r="Z51" s="48"/>
      <c r="AA51" s="48"/>
      <c r="AB51" s="47" t="s">
        <v>269</v>
      </c>
      <c r="AC51" s="48"/>
      <c r="AD51" s="48"/>
      <c r="AE51" s="48"/>
      <c r="AF51" s="48"/>
      <c r="AG51" s="48"/>
      <c r="AH51" s="48"/>
      <c r="AI51" s="48"/>
      <c r="AJ51" s="47" t="s">
        <v>79</v>
      </c>
      <c r="AK51" s="49"/>
      <c r="AL51" s="48" t="s">
        <v>270</v>
      </c>
      <c r="AM51" s="48"/>
      <c r="AN51" s="48"/>
      <c r="AO51" s="48"/>
      <c r="AP51" s="49"/>
    </row>
    <row r="52" spans="1:42">
      <c r="A52" s="18" t="s">
        <v>307</v>
      </c>
      <c r="B52" s="48"/>
      <c r="C52" s="48"/>
      <c r="D52" s="47" t="s">
        <v>73</v>
      </c>
      <c r="E52" s="48"/>
      <c r="F52" s="48"/>
      <c r="G52" s="49"/>
      <c r="H52" s="47" t="s">
        <v>319</v>
      </c>
      <c r="I52" s="48"/>
      <c r="J52" s="47" t="s">
        <v>181</v>
      </c>
      <c r="K52" s="48"/>
      <c r="L52" s="28" t="s">
        <v>321</v>
      </c>
      <c r="M52" s="29"/>
      <c r="N52" s="64" t="s">
        <v>323</v>
      </c>
      <c r="O52" s="48"/>
      <c r="P52" s="49"/>
      <c r="Q52" s="47" t="s">
        <v>295</v>
      </c>
      <c r="R52" s="48"/>
      <c r="S52" s="48"/>
      <c r="T52" s="48"/>
      <c r="U52" s="49"/>
      <c r="V52" s="48" t="s">
        <v>271</v>
      </c>
      <c r="W52" s="48"/>
      <c r="X52" s="48"/>
      <c r="Y52" s="48"/>
      <c r="Z52" s="48"/>
      <c r="AA52" s="48"/>
      <c r="AB52" s="47" t="s">
        <v>272</v>
      </c>
      <c r="AC52" s="48"/>
      <c r="AD52" s="48"/>
      <c r="AE52" s="48"/>
      <c r="AF52" s="48"/>
      <c r="AG52" s="48"/>
      <c r="AH52" s="48"/>
      <c r="AI52" s="48"/>
      <c r="AJ52" s="47" t="s">
        <v>79</v>
      </c>
      <c r="AK52" s="49"/>
      <c r="AL52" s="48" t="s">
        <v>270</v>
      </c>
      <c r="AM52" s="48"/>
      <c r="AN52" s="48"/>
      <c r="AO52" s="48"/>
      <c r="AP52" s="49"/>
    </row>
    <row r="53" spans="1:42">
      <c r="A53" s="18" t="s">
        <v>308</v>
      </c>
      <c r="B53" s="48"/>
      <c r="C53" s="48"/>
      <c r="D53" s="47" t="s">
        <v>73</v>
      </c>
      <c r="E53" s="48"/>
      <c r="F53" s="48"/>
      <c r="G53" s="49"/>
      <c r="H53" s="47" t="s">
        <v>319</v>
      </c>
      <c r="I53" s="48"/>
      <c r="J53" s="47" t="s">
        <v>181</v>
      </c>
      <c r="K53" s="48"/>
      <c r="L53" s="28" t="s">
        <v>320</v>
      </c>
      <c r="M53" s="29"/>
      <c r="N53" s="64" t="s">
        <v>323</v>
      </c>
      <c r="O53" s="48"/>
      <c r="P53" s="49"/>
      <c r="Q53" s="47" t="s">
        <v>296</v>
      </c>
      <c r="R53" s="48"/>
      <c r="S53" s="48"/>
      <c r="T53" s="48"/>
      <c r="U53" s="49"/>
      <c r="V53" s="48" t="s">
        <v>273</v>
      </c>
      <c r="W53" s="48"/>
      <c r="X53" s="48"/>
      <c r="Y53" s="48"/>
      <c r="Z53" s="48"/>
      <c r="AA53" s="48"/>
      <c r="AB53" s="47" t="s">
        <v>274</v>
      </c>
      <c r="AC53" s="48"/>
      <c r="AD53" s="48"/>
      <c r="AE53" s="48"/>
      <c r="AF53" s="48"/>
      <c r="AG53" s="48"/>
      <c r="AH53" s="48"/>
      <c r="AI53" s="48"/>
      <c r="AJ53" s="47" t="s">
        <v>79</v>
      </c>
      <c r="AK53" s="49"/>
      <c r="AL53" s="48" t="s">
        <v>270</v>
      </c>
      <c r="AM53" s="48"/>
      <c r="AN53" s="48"/>
      <c r="AO53" s="48"/>
      <c r="AP53" s="49"/>
    </row>
    <row r="54" spans="1:42">
      <c r="A54" s="18" t="s">
        <v>309</v>
      </c>
      <c r="B54" s="48"/>
      <c r="C54" s="48"/>
      <c r="D54" s="47" t="s">
        <v>73</v>
      </c>
      <c r="E54" s="48"/>
      <c r="F54" s="48"/>
      <c r="G54" s="49"/>
      <c r="H54" s="47" t="s">
        <v>319</v>
      </c>
      <c r="I54" s="48"/>
      <c r="J54" s="47" t="s">
        <v>181</v>
      </c>
      <c r="K54" s="48"/>
      <c r="L54" s="28" t="s">
        <v>320</v>
      </c>
      <c r="M54" s="29"/>
      <c r="N54" s="64" t="s">
        <v>323</v>
      </c>
      <c r="O54" s="48"/>
      <c r="P54" s="49"/>
      <c r="Q54" s="47" t="s">
        <v>297</v>
      </c>
      <c r="R54" s="48"/>
      <c r="S54" s="48"/>
      <c r="T54" s="48"/>
      <c r="U54" s="49"/>
      <c r="V54" s="48" t="s">
        <v>275</v>
      </c>
      <c r="W54" s="48"/>
      <c r="X54" s="48"/>
      <c r="Y54" s="48"/>
      <c r="Z54" s="48"/>
      <c r="AA54" s="48"/>
      <c r="AB54" s="47" t="s">
        <v>276</v>
      </c>
      <c r="AC54" s="48"/>
      <c r="AD54" s="48"/>
      <c r="AE54" s="48"/>
      <c r="AF54" s="48"/>
      <c r="AG54" s="48"/>
      <c r="AH54" s="48"/>
      <c r="AI54" s="48"/>
      <c r="AJ54" s="47" t="s">
        <v>79</v>
      </c>
      <c r="AK54" s="49"/>
      <c r="AL54" s="48" t="s">
        <v>270</v>
      </c>
      <c r="AM54" s="48"/>
      <c r="AN54" s="48"/>
      <c r="AO54" s="48"/>
      <c r="AP54" s="49"/>
    </row>
    <row r="55" spans="1:42">
      <c r="A55" s="18" t="s">
        <v>310</v>
      </c>
      <c r="B55" s="48"/>
      <c r="C55" s="48"/>
      <c r="D55" s="47" t="s">
        <v>73</v>
      </c>
      <c r="E55" s="48"/>
      <c r="F55" s="48"/>
      <c r="G55" s="49"/>
      <c r="H55" s="47" t="s">
        <v>319</v>
      </c>
      <c r="I55" s="48"/>
      <c r="J55" s="47" t="s">
        <v>181</v>
      </c>
      <c r="K55" s="48"/>
      <c r="L55" s="28" t="s">
        <v>320</v>
      </c>
      <c r="M55" s="29"/>
      <c r="N55" s="64" t="s">
        <v>323</v>
      </c>
      <c r="O55" s="48"/>
      <c r="P55" s="49"/>
      <c r="Q55" s="47" t="s">
        <v>298</v>
      </c>
      <c r="R55" s="48"/>
      <c r="S55" s="48"/>
      <c r="T55" s="48"/>
      <c r="U55" s="49"/>
      <c r="V55" s="48" t="s">
        <v>277</v>
      </c>
      <c r="W55" s="48"/>
      <c r="X55" s="48"/>
      <c r="Y55" s="48"/>
      <c r="Z55" s="48"/>
      <c r="AA55" s="48"/>
      <c r="AB55" s="47" t="s">
        <v>278</v>
      </c>
      <c r="AC55" s="48"/>
      <c r="AD55" s="48"/>
      <c r="AE55" s="48"/>
      <c r="AF55" s="48"/>
      <c r="AG55" s="48"/>
      <c r="AH55" s="48"/>
      <c r="AI55" s="48"/>
      <c r="AJ55" s="47" t="s">
        <v>79</v>
      </c>
      <c r="AK55" s="49"/>
      <c r="AL55" s="48" t="s">
        <v>242</v>
      </c>
      <c r="AM55" s="48"/>
      <c r="AN55" s="48"/>
      <c r="AO55" s="48"/>
      <c r="AP55" s="49"/>
    </row>
    <row r="56" spans="1:42">
      <c r="A56" s="18" t="s">
        <v>311</v>
      </c>
      <c r="B56" s="48"/>
      <c r="C56" s="48"/>
      <c r="D56" s="47" t="s">
        <v>73</v>
      </c>
      <c r="E56" s="48"/>
      <c r="F56" s="48"/>
      <c r="G56" s="49"/>
      <c r="H56" s="47" t="s">
        <v>319</v>
      </c>
      <c r="I56" s="48"/>
      <c r="J56" s="47" t="s">
        <v>181</v>
      </c>
      <c r="K56" s="48"/>
      <c r="L56" s="28" t="s">
        <v>321</v>
      </c>
      <c r="M56" s="29"/>
      <c r="N56" s="64" t="s">
        <v>323</v>
      </c>
      <c r="O56" s="48"/>
      <c r="P56" s="49"/>
      <c r="Q56" s="47" t="s">
        <v>299</v>
      </c>
      <c r="R56" s="48"/>
      <c r="S56" s="48"/>
      <c r="T56" s="48"/>
      <c r="U56" s="49"/>
      <c r="V56" s="48" t="s">
        <v>273</v>
      </c>
      <c r="W56" s="48"/>
      <c r="X56" s="48"/>
      <c r="Y56" s="48"/>
      <c r="Z56" s="48"/>
      <c r="AA56" s="48"/>
      <c r="AB56" s="47" t="s">
        <v>279</v>
      </c>
      <c r="AC56" s="48"/>
      <c r="AD56" s="48"/>
      <c r="AE56" s="48"/>
      <c r="AF56" s="48"/>
      <c r="AG56" s="48"/>
      <c r="AH56" s="48"/>
      <c r="AI56" s="48"/>
      <c r="AJ56" s="47" t="s">
        <v>79</v>
      </c>
      <c r="AK56" s="49"/>
      <c r="AL56" s="48" t="s">
        <v>270</v>
      </c>
      <c r="AM56" s="48"/>
      <c r="AN56" s="48"/>
      <c r="AO56" s="48"/>
      <c r="AP56" s="49"/>
    </row>
    <row r="57" spans="1:42">
      <c r="A57" s="18" t="s">
        <v>312</v>
      </c>
      <c r="B57" s="48"/>
      <c r="C57" s="48"/>
      <c r="D57" s="47" t="s">
        <v>73</v>
      </c>
      <c r="E57" s="48"/>
      <c r="F57" s="48"/>
      <c r="G57" s="49"/>
      <c r="H57" s="47" t="s">
        <v>319</v>
      </c>
      <c r="I57" s="48"/>
      <c r="J57" s="47" t="s">
        <v>123</v>
      </c>
      <c r="K57" s="48"/>
      <c r="L57" s="28" t="s">
        <v>320</v>
      </c>
      <c r="M57" s="29"/>
      <c r="N57" s="64" t="s">
        <v>323</v>
      </c>
      <c r="O57" s="48"/>
      <c r="P57" s="49"/>
      <c r="Q57" s="47" t="s">
        <v>300</v>
      </c>
      <c r="R57" s="48"/>
      <c r="S57" s="48"/>
      <c r="T57" s="48"/>
      <c r="U57" s="49"/>
      <c r="V57" s="48" t="s">
        <v>280</v>
      </c>
      <c r="W57" s="48"/>
      <c r="X57" s="48"/>
      <c r="Y57" s="48"/>
      <c r="Z57" s="48"/>
      <c r="AA57" s="48"/>
      <c r="AB57" s="47" t="s">
        <v>281</v>
      </c>
      <c r="AC57" s="48"/>
      <c r="AD57" s="48"/>
      <c r="AE57" s="48"/>
      <c r="AF57" s="48"/>
      <c r="AG57" s="48"/>
      <c r="AH57" s="48"/>
      <c r="AI57" s="48"/>
      <c r="AJ57" s="47" t="s">
        <v>79</v>
      </c>
      <c r="AK57" s="49"/>
      <c r="AL57" s="48" t="s">
        <v>282</v>
      </c>
      <c r="AM57" s="48"/>
      <c r="AN57" s="48"/>
      <c r="AO57" s="48"/>
      <c r="AP57" s="49"/>
    </row>
    <row r="58" spans="1:42">
      <c r="A58" s="18" t="s">
        <v>313</v>
      </c>
      <c r="B58" s="48"/>
      <c r="C58" s="48"/>
      <c r="D58" s="47" t="s">
        <v>73</v>
      </c>
      <c r="E58" s="48"/>
      <c r="F58" s="48"/>
      <c r="G58" s="49"/>
      <c r="H58" s="47" t="s">
        <v>319</v>
      </c>
      <c r="I58" s="48"/>
      <c r="J58" s="47" t="s">
        <v>123</v>
      </c>
      <c r="K58" s="48"/>
      <c r="L58" s="28" t="s">
        <v>320</v>
      </c>
      <c r="M58" s="29"/>
      <c r="N58" s="64" t="s">
        <v>323</v>
      </c>
      <c r="O58" s="48"/>
      <c r="P58" s="49"/>
      <c r="Q58" s="47" t="s">
        <v>301</v>
      </c>
      <c r="R58" s="48"/>
      <c r="S58" s="48"/>
      <c r="T58" s="48"/>
      <c r="U58" s="49"/>
      <c r="V58" s="48" t="s">
        <v>283</v>
      </c>
      <c r="W58" s="48"/>
      <c r="X58" s="48"/>
      <c r="Y58" s="48"/>
      <c r="Z58" s="48"/>
      <c r="AA58" s="48"/>
      <c r="AB58" s="47" t="s">
        <v>284</v>
      </c>
      <c r="AC58" s="48"/>
      <c r="AD58" s="48"/>
      <c r="AE58" s="48"/>
      <c r="AF58" s="48"/>
      <c r="AG58" s="48"/>
      <c r="AH58" s="48"/>
      <c r="AI58" s="48"/>
      <c r="AJ58" s="47" t="s">
        <v>79</v>
      </c>
      <c r="AK58" s="49"/>
      <c r="AL58" s="48" t="s">
        <v>282</v>
      </c>
      <c r="AM58" s="48"/>
      <c r="AN58" s="48"/>
      <c r="AO58" s="48"/>
      <c r="AP58" s="49"/>
    </row>
    <row r="59" spans="1:42">
      <c r="A59" s="18" t="s">
        <v>314</v>
      </c>
      <c r="B59" s="48"/>
      <c r="C59" s="48"/>
      <c r="D59" s="47" t="s">
        <v>73</v>
      </c>
      <c r="E59" s="48"/>
      <c r="F59" s="48"/>
      <c r="G59" s="49"/>
      <c r="H59" s="47" t="s">
        <v>319</v>
      </c>
      <c r="I59" s="48"/>
      <c r="J59" s="47" t="s">
        <v>123</v>
      </c>
      <c r="K59" s="48"/>
      <c r="L59" s="28" t="s">
        <v>320</v>
      </c>
      <c r="M59" s="29"/>
      <c r="N59" s="64" t="s">
        <v>323</v>
      </c>
      <c r="O59" s="48"/>
      <c r="P59" s="49"/>
      <c r="Q59" s="47" t="s">
        <v>302</v>
      </c>
      <c r="R59" s="48"/>
      <c r="S59" s="48"/>
      <c r="T59" s="48"/>
      <c r="U59" s="49"/>
      <c r="V59" s="48" t="s">
        <v>285</v>
      </c>
      <c r="W59" s="48"/>
      <c r="X59" s="48"/>
      <c r="Y59" s="48"/>
      <c r="Z59" s="48"/>
      <c r="AA59" s="48"/>
      <c r="AB59" s="47" t="s">
        <v>286</v>
      </c>
      <c r="AC59" s="48"/>
      <c r="AD59" s="48"/>
      <c r="AE59" s="48"/>
      <c r="AF59" s="48"/>
      <c r="AG59" s="48"/>
      <c r="AH59" s="48"/>
      <c r="AI59" s="48"/>
      <c r="AJ59" s="47" t="s">
        <v>79</v>
      </c>
      <c r="AK59" s="49"/>
      <c r="AL59" s="48" t="s">
        <v>282</v>
      </c>
      <c r="AM59" s="48"/>
      <c r="AN59" s="48"/>
      <c r="AO59" s="48"/>
      <c r="AP59" s="49"/>
    </row>
    <row r="60" spans="1:42">
      <c r="A60" s="18" t="s">
        <v>315</v>
      </c>
      <c r="B60" s="48"/>
      <c r="C60" s="48"/>
      <c r="D60" s="47" t="s">
        <v>73</v>
      </c>
      <c r="E60" s="48"/>
      <c r="F60" s="48"/>
      <c r="G60" s="49"/>
      <c r="H60" s="47" t="s">
        <v>319</v>
      </c>
      <c r="I60" s="48"/>
      <c r="J60" s="47" t="s">
        <v>123</v>
      </c>
      <c r="K60" s="48"/>
      <c r="L60" s="28" t="s">
        <v>320</v>
      </c>
      <c r="M60" s="29"/>
      <c r="N60" s="64" t="s">
        <v>323</v>
      </c>
      <c r="O60" s="48"/>
      <c r="P60" s="49"/>
      <c r="Q60" s="47" t="s">
        <v>303</v>
      </c>
      <c r="R60" s="48"/>
      <c r="S60" s="48"/>
      <c r="T60" s="48"/>
      <c r="U60" s="49"/>
      <c r="V60" s="48" t="s">
        <v>287</v>
      </c>
      <c r="W60" s="48"/>
      <c r="X60" s="48"/>
      <c r="Y60" s="48"/>
      <c r="Z60" s="48"/>
      <c r="AA60" s="48"/>
      <c r="AB60" s="47" t="s">
        <v>288</v>
      </c>
      <c r="AC60" s="48"/>
      <c r="AD60" s="48"/>
      <c r="AE60" s="48"/>
      <c r="AF60" s="48"/>
      <c r="AG60" s="48"/>
      <c r="AH60" s="48"/>
      <c r="AI60" s="48"/>
      <c r="AJ60" s="47" t="s">
        <v>79</v>
      </c>
      <c r="AK60" s="49"/>
      <c r="AL60" s="48" t="s">
        <v>282</v>
      </c>
      <c r="AM60" s="48"/>
      <c r="AN60" s="48"/>
      <c r="AO60" s="48"/>
      <c r="AP60" s="49"/>
    </row>
    <row r="61" spans="1:42">
      <c r="A61" s="18" t="s">
        <v>316</v>
      </c>
      <c r="B61" s="48"/>
      <c r="C61" s="48"/>
      <c r="D61" s="47" t="s">
        <v>73</v>
      </c>
      <c r="E61" s="48"/>
      <c r="F61" s="48"/>
      <c r="G61" s="49"/>
      <c r="H61" s="47" t="s">
        <v>319</v>
      </c>
      <c r="I61" s="48"/>
      <c r="J61" s="47" t="s">
        <v>123</v>
      </c>
      <c r="K61" s="48"/>
      <c r="L61" s="28" t="s">
        <v>320</v>
      </c>
      <c r="M61" s="29"/>
      <c r="N61" s="64" t="s">
        <v>323</v>
      </c>
      <c r="O61" s="48"/>
      <c r="P61" s="49"/>
      <c r="Q61" s="47" t="s">
        <v>304</v>
      </c>
      <c r="R61" s="48"/>
      <c r="S61" s="48"/>
      <c r="T61" s="48"/>
      <c r="U61" s="49"/>
      <c r="V61" s="48" t="s">
        <v>289</v>
      </c>
      <c r="W61" s="48"/>
      <c r="X61" s="48"/>
      <c r="Y61" s="48"/>
      <c r="Z61" s="48"/>
      <c r="AA61" s="48"/>
      <c r="AB61" s="47" t="s">
        <v>290</v>
      </c>
      <c r="AC61" s="48"/>
      <c r="AD61" s="48"/>
      <c r="AE61" s="48"/>
      <c r="AF61" s="48"/>
      <c r="AG61" s="48"/>
      <c r="AH61" s="48"/>
      <c r="AI61" s="48"/>
      <c r="AJ61" s="47" t="s">
        <v>79</v>
      </c>
      <c r="AK61" s="49"/>
      <c r="AL61" s="48" t="s">
        <v>270</v>
      </c>
      <c r="AM61" s="48"/>
      <c r="AN61" s="48"/>
      <c r="AO61" s="48"/>
      <c r="AP61" s="49"/>
    </row>
    <row r="62" spans="1:42">
      <c r="A62" s="18" t="s">
        <v>317</v>
      </c>
      <c r="B62" s="48"/>
      <c r="C62" s="48"/>
      <c r="D62" s="47" t="s">
        <v>73</v>
      </c>
      <c r="E62" s="48"/>
      <c r="F62" s="48"/>
      <c r="G62" s="49"/>
      <c r="H62" s="47" t="s">
        <v>319</v>
      </c>
      <c r="I62" s="48"/>
      <c r="J62" s="47" t="s">
        <v>123</v>
      </c>
      <c r="K62" s="48"/>
      <c r="L62" s="28" t="s">
        <v>322</v>
      </c>
      <c r="M62" s="29"/>
      <c r="N62" s="65" t="s">
        <v>324</v>
      </c>
      <c r="O62" s="48"/>
      <c r="P62" s="49"/>
      <c r="Q62" s="47" t="s">
        <v>305</v>
      </c>
      <c r="R62" s="48"/>
      <c r="S62" s="48"/>
      <c r="T62" s="48"/>
      <c r="U62" s="49"/>
      <c r="V62" s="48" t="s">
        <v>291</v>
      </c>
      <c r="W62" s="48"/>
      <c r="X62" s="48"/>
      <c r="Y62" s="48"/>
      <c r="Z62" s="48"/>
      <c r="AA62" s="48"/>
      <c r="AB62" s="47" t="s">
        <v>292</v>
      </c>
      <c r="AC62" s="48"/>
      <c r="AD62" s="48"/>
      <c r="AE62" s="48"/>
      <c r="AF62" s="48"/>
      <c r="AG62" s="48"/>
      <c r="AH62" s="48"/>
      <c r="AI62" s="48"/>
      <c r="AJ62" s="47" t="s">
        <v>79</v>
      </c>
      <c r="AK62" s="49"/>
      <c r="AL62" s="48" t="s">
        <v>293</v>
      </c>
      <c r="AM62" s="48"/>
      <c r="AN62" s="48"/>
      <c r="AO62" s="48"/>
      <c r="AP62" s="49"/>
    </row>
    <row r="63" spans="1:42">
      <c r="A63" s="47"/>
      <c r="B63" s="48"/>
      <c r="C63" s="48"/>
      <c r="D63" s="47"/>
      <c r="E63" s="48"/>
      <c r="F63" s="48"/>
      <c r="G63" s="49"/>
      <c r="H63" s="47"/>
      <c r="I63" s="48"/>
      <c r="J63" s="47"/>
      <c r="K63" s="48"/>
      <c r="L63" s="47"/>
      <c r="M63" s="49"/>
      <c r="N63" s="48"/>
      <c r="O63" s="48"/>
      <c r="P63" s="49"/>
      <c r="Q63" s="47"/>
      <c r="R63" s="48"/>
      <c r="S63" s="48"/>
      <c r="T63" s="48"/>
      <c r="U63" s="49"/>
      <c r="V63" s="48"/>
      <c r="W63" s="48"/>
      <c r="X63" s="48"/>
      <c r="Y63" s="48"/>
      <c r="Z63" s="48"/>
      <c r="AA63" s="48"/>
      <c r="AB63" s="47"/>
      <c r="AC63" s="48"/>
      <c r="AD63" s="48"/>
      <c r="AE63" s="48"/>
      <c r="AF63" s="48"/>
      <c r="AG63" s="48"/>
      <c r="AH63" s="48"/>
      <c r="AI63" s="48"/>
      <c r="AJ63" s="47"/>
      <c r="AK63" s="49"/>
      <c r="AL63" s="48"/>
      <c r="AM63" s="48"/>
      <c r="AN63" s="48"/>
      <c r="AO63" s="48"/>
      <c r="AP63" s="49"/>
    </row>
    <row r="64" spans="1:42">
      <c r="A64" s="47"/>
      <c r="B64" s="48"/>
      <c r="C64" s="48"/>
      <c r="D64" s="47"/>
      <c r="E64" s="48"/>
      <c r="F64" s="48"/>
      <c r="G64" s="49"/>
      <c r="H64" s="47"/>
      <c r="I64" s="48"/>
      <c r="J64" s="47"/>
      <c r="K64" s="48"/>
      <c r="L64" s="47"/>
      <c r="M64" s="49"/>
      <c r="N64" s="48"/>
      <c r="O64" s="48"/>
      <c r="P64" s="49"/>
      <c r="Q64" s="47"/>
      <c r="R64" s="48"/>
      <c r="S64" s="48"/>
      <c r="T64" s="48"/>
      <c r="U64" s="49"/>
      <c r="V64" s="48"/>
      <c r="W64" s="48"/>
      <c r="X64" s="48"/>
      <c r="Y64" s="48"/>
      <c r="Z64" s="48"/>
      <c r="AA64" s="48"/>
      <c r="AB64" s="47"/>
      <c r="AC64" s="48"/>
      <c r="AD64" s="48"/>
      <c r="AE64" s="48"/>
      <c r="AF64" s="48"/>
      <c r="AG64" s="48"/>
      <c r="AH64" s="48"/>
      <c r="AI64" s="48"/>
      <c r="AJ64" s="47"/>
      <c r="AK64" s="49"/>
      <c r="AL64" s="48"/>
      <c r="AM64" s="48"/>
      <c r="AN64" s="48"/>
      <c r="AO64" s="48"/>
      <c r="AP64" s="49"/>
    </row>
    <row r="65" spans="1:42">
      <c r="A65" s="47"/>
      <c r="B65" s="48"/>
      <c r="C65" s="48"/>
      <c r="D65" s="47"/>
      <c r="E65" s="48"/>
      <c r="F65" s="48"/>
      <c r="G65" s="49"/>
      <c r="H65" s="47"/>
      <c r="I65" s="48"/>
      <c r="J65" s="47"/>
      <c r="K65" s="48"/>
      <c r="L65" s="47"/>
      <c r="M65" s="49"/>
      <c r="N65" s="48"/>
      <c r="O65" s="48"/>
      <c r="P65" s="49"/>
      <c r="Q65" s="47"/>
      <c r="R65" s="48"/>
      <c r="S65" s="48"/>
      <c r="T65" s="48"/>
      <c r="U65" s="49"/>
      <c r="V65" s="48"/>
      <c r="W65" s="48"/>
      <c r="X65" s="48"/>
      <c r="Y65" s="48"/>
      <c r="Z65" s="48"/>
      <c r="AA65" s="48"/>
      <c r="AB65" s="47"/>
      <c r="AC65" s="48"/>
      <c r="AD65" s="48"/>
      <c r="AE65" s="48"/>
      <c r="AF65" s="48"/>
      <c r="AG65" s="48"/>
      <c r="AH65" s="48"/>
      <c r="AI65" s="48"/>
      <c r="AJ65" s="47"/>
      <c r="AK65" s="49"/>
      <c r="AL65" s="48"/>
      <c r="AM65" s="48"/>
      <c r="AN65" s="48"/>
      <c r="AO65" s="48"/>
      <c r="AP65" s="49"/>
    </row>
    <row r="66" spans="1:42" ht="21" thickBot="1">
      <c r="A66" s="21"/>
      <c r="B66" s="22"/>
      <c r="C66" s="22"/>
      <c r="D66" s="21"/>
      <c r="E66" s="22"/>
      <c r="F66" s="22"/>
      <c r="G66" s="23"/>
      <c r="H66" s="21"/>
      <c r="I66" s="22"/>
      <c r="J66" s="21"/>
      <c r="K66" s="22"/>
      <c r="L66" s="21"/>
      <c r="M66" s="23"/>
      <c r="N66" s="22"/>
      <c r="O66" s="22"/>
      <c r="P66" s="23"/>
      <c r="Q66" s="21"/>
      <c r="R66" s="22"/>
      <c r="S66" s="22"/>
      <c r="T66" s="22"/>
      <c r="U66" s="23"/>
      <c r="V66" s="22"/>
      <c r="W66" s="22"/>
      <c r="X66" s="22"/>
      <c r="Y66" s="22"/>
      <c r="Z66" s="22"/>
      <c r="AA66" s="22"/>
      <c r="AB66" s="21"/>
      <c r="AC66" s="22"/>
      <c r="AD66" s="22"/>
      <c r="AE66" s="22"/>
      <c r="AF66" s="22"/>
      <c r="AG66" s="22"/>
      <c r="AH66" s="22"/>
      <c r="AI66" s="22"/>
      <c r="AJ66" s="21"/>
      <c r="AK66" s="23"/>
      <c r="AL66" s="22"/>
      <c r="AM66" s="22"/>
      <c r="AN66" s="22"/>
      <c r="AO66" s="22"/>
      <c r="AP66" s="23"/>
    </row>
    <row r="69" spans="1:42">
      <c r="A69" s="44"/>
    </row>
  </sheetData>
  <mergeCells count="13">
    <mergeCell ref="AB5:AI5"/>
    <mergeCell ref="AJ5:AK5"/>
    <mergeCell ref="AL5:AP5"/>
    <mergeCell ref="J5:K5"/>
    <mergeCell ref="L5:M5"/>
    <mergeCell ref="N5:P5"/>
    <mergeCell ref="Q5:U5"/>
    <mergeCell ref="V5:AA5"/>
    <mergeCell ref="A1:C1"/>
    <mergeCell ref="A2:C2"/>
    <mergeCell ref="A5:C5"/>
    <mergeCell ref="D5:G5"/>
    <mergeCell ref="H5:I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プロパティ</vt:lpstr>
      <vt:lpstr>01_表紙</vt:lpstr>
      <vt:lpstr>02_改版履歴</vt:lpstr>
      <vt:lpstr>03_テスト概要</vt:lpstr>
      <vt:lpstr>04_単体テスト一覧</vt:lpstr>
      <vt:lpstr>Author</vt:lpstr>
      <vt:lpstr>ModNoRange</vt:lpstr>
      <vt:lpstr>ProgramName</vt:lpstr>
      <vt:lpstr>ProjectCreateDate</vt:lpstr>
      <vt:lpstr>ProjectName</vt:lpstr>
      <vt:lpstr>SystemName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Florian</dc:creator>
  <cp:lastModifiedBy>Carlos Florian</cp:lastModifiedBy>
  <dcterms:created xsi:type="dcterms:W3CDTF">2026-06-08T03:14:42Z</dcterms:created>
  <dcterms:modified xsi:type="dcterms:W3CDTF">2026-07-13T03:33:54Z</dcterms:modified>
</cp:coreProperties>
</file>